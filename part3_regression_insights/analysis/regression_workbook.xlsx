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part3_regression_insights\analysis\"/>
    </mc:Choice>
  </mc:AlternateContent>
  <xr:revisionPtr revIDLastSave="0" documentId="13_ncr:1_{65D23015-7506-4401-87CC-9F966B0CC2E7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Original_Data" sheetId="1" r:id="rId1"/>
    <sheet name="Cleaned_Data" sheetId="2" r:id="rId2"/>
    <sheet name="Dummy_Variables" sheetId="3" r:id="rId3"/>
    <sheet name="Simple_Regression_1 " sheetId="8" r:id="rId4"/>
    <sheet name="Simple_Regression_2" sheetId="9" r:id="rId5"/>
    <sheet name="Simple_Regression" sheetId="4" r:id="rId6"/>
    <sheet name="Multiple_Regression" sheetId="11" r:id="rId7"/>
    <sheet name="Residual_Analysis" sheetId="6" r:id="rId8"/>
    <sheet name="Model_Comparison" sheetId="7" r:id="rId9"/>
    <sheet name="Regression_Summary" sheetId="12" r:id="rId10"/>
  </sheets>
  <definedNames>
    <definedName name="_xlnm._FilterDatabase" localSheetId="1" hidden="1">Cleaned_Data!$A$1:$N$323</definedName>
    <definedName name="_xlchart.v1.0" hidden="1">Residual_Analysis!$A$1:$A$2</definedName>
    <definedName name="_xlchart.v1.1" hidden="1">Residual_Analysis!$A$3:$A$322</definedName>
    <definedName name="_xlchart.v1.2" hidden="1">Residual_Analysis!$B$1:$B$2</definedName>
    <definedName name="_xlchart.v1.3" hidden="1">Residual_Analysis!$B$3:$B$322</definedName>
    <definedName name="_xlchart.v1.4" hidden="1">Residual_Analysis!$C$1:$C$2</definedName>
    <definedName name="_xlchart.v1.5" hidden="1">Residual_Analysis!$C$3:$C$322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2" i="6" l="1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G14" i="6"/>
  <c r="C14" i="6"/>
  <c r="G13" i="6"/>
  <c r="C13" i="6"/>
  <c r="G12" i="6"/>
  <c r="C12" i="6"/>
  <c r="G11" i="6"/>
  <c r="C11" i="6"/>
  <c r="G10" i="6"/>
  <c r="C10" i="6"/>
  <c r="C9" i="6"/>
  <c r="C8" i="6"/>
  <c r="G7" i="6"/>
  <c r="C7" i="6"/>
  <c r="G6" i="6"/>
  <c r="C6" i="6"/>
  <c r="G5" i="6"/>
  <c r="C5" i="6"/>
  <c r="G4" i="6"/>
  <c r="C4" i="6"/>
  <c r="G3" i="6"/>
  <c r="C3" i="6"/>
  <c r="T3" i="3" l="1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T2" i="3"/>
  <c r="S2" i="3"/>
  <c r="R2" i="3"/>
  <c r="Q2" i="3"/>
  <c r="P2" i="3"/>
  <c r="O2" i="3"/>
</calcChain>
</file>

<file path=xl/sharedStrings.xml><?xml version="1.0" encoding="utf-8"?>
<sst xmlns="http://schemas.openxmlformats.org/spreadsheetml/2006/main" count="3085" uniqueCount="178">
  <si>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</si>
  <si>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</si>
  <si>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</si>
  <si>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</si>
  <si>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</si>
  <si>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</si>
  <si>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</si>
  <si>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</si>
  <si>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</si>
  <si>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</si>
  <si>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</si>
  <si>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</si>
  <si>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</si>
  <si>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</si>
  <si>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</si>
  <si>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</si>
  <si>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</si>
  <si>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</si>
  <si>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</si>
  <si>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</si>
  <si>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</si>
  <si>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</si>
  <si>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</si>
  <si>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</si>
  <si>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</si>
  <si>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</si>
  <si>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</si>
  <si>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</si>
  <si>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</si>
  <si>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</si>
  <si>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</si>
  <si>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</si>
  <si>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</si>
  <si>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</si>
  <si>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</si>
  <si>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</si>
  <si>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</si>
  <si>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</si>
  <si>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</si>
  <si>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</si>
  <si>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</si>
  <si>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</si>
  <si>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</si>
  <si>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</si>
  <si>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</si>
  <si>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</si>
  <si>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</si>
  <si>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</si>
  <si>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</si>
  <si>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</si>
  <si>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</si>
  <si>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</si>
  <si>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</si>
  <si>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</si>
  <si>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</si>
  <si>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</si>
  <si>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</si>
  <si>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</si>
  <si>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</si>
  <si>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</si>
  <si>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</si>
  <si>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</si>
  <si>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</si>
  <si>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</si>
  <si>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</si>
  <si>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</si>
  <si>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</si>
  <si>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</si>
  <si>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</si>
  <si>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</si>
  <si>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</si>
  <si>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</si>
  <si>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</si>
  <si>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</si>
  <si>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</si>
  <si>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</si>
  <si>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</si>
  <si>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</si>
  <si>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</si>
  <si>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</si>
  <si>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</si>
  <si>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</si>
  <si>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</si>
  <si>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</si>
  <si>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</si>
  <si>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</si>
  <si>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</si>
  <si>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</si>
  <si>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</si>
  <si>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</si>
  <si>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</si>
  <si>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</si>
  <si>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</si>
  <si>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</si>
  <si>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</si>
  <si>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</si>
  <si>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</si>
  <si>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</si>
  <si>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</si>
  <si>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</si>
  <si>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</si>
  <si>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</si>
  <si>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Region_East</t>
  </si>
  <si>
    <t>Region_North</t>
  </si>
  <si>
    <t>Region_South</t>
  </si>
  <si>
    <t>Store_Residential</t>
  </si>
  <si>
    <t>Store_HighStreet</t>
  </si>
  <si>
    <t>Store_Mall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</si>
  <si>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</si>
  <si>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</si>
  <si>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</si>
  <si>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</si>
  <si>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</si>
  <si>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</si>
  <si>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</si>
  <si>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</si>
  <si>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</si>
  <si>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</si>
  <si>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</si>
  <si>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</si>
  <si>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</si>
  <si>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</si>
  <si>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</si>
  <si>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</si>
  <si>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</si>
  <si>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</si>
  <si>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</si>
  <si>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</si>
  <si>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</si>
  <si>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</si>
  <si>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</si>
  <si>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</si>
  <si>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Model</t>
  </si>
  <si>
    <t>Independent Variable</t>
  </si>
  <si>
    <t>R²</t>
  </si>
  <si>
    <t>Significant</t>
  </si>
  <si>
    <t>Business Usefulness</t>
  </si>
  <si>
    <t>Model 1</t>
  </si>
  <si>
    <t>Marketing Spend</t>
  </si>
  <si>
    <t>Yes</t>
  </si>
  <si>
    <t>Moderate</t>
  </si>
  <si>
    <t>Model 2</t>
  </si>
  <si>
    <t>Footfall</t>
  </si>
  <si>
    <t>High</t>
  </si>
  <si>
    <t>Summary Sheet</t>
  </si>
  <si>
    <t>R² = 16.8%</t>
  </si>
  <si>
    <r>
      <t>R² = 73.8%</t>
    </r>
    <r>
      <rPr>
        <sz val="11"/>
        <color theme="1"/>
        <rFont val="Calibri"/>
        <family val="2"/>
        <scheme val="minor"/>
      </rPr>
      <t xml:space="preserve"> ✅</t>
    </r>
  </si>
  <si>
    <t>Moderate predictor</t>
  </si>
  <si>
    <t>Very strong predictor</t>
  </si>
  <si>
    <t>Useful</t>
  </si>
  <si>
    <t>Best Simple Model</t>
  </si>
  <si>
    <t>Comparison</t>
  </si>
  <si>
    <t>A</t>
  </si>
  <si>
    <t>B</t>
  </si>
  <si>
    <t>C</t>
  </si>
  <si>
    <t>Actual Sales</t>
  </si>
  <si>
    <t>Predicted Sales</t>
  </si>
  <si>
    <t>Top 5 Positive Residual</t>
  </si>
  <si>
    <t>Top 5 Negative Residual</t>
  </si>
  <si>
    <t>D</t>
  </si>
  <si>
    <t>E</t>
  </si>
  <si>
    <t>Multiple Regression</t>
  </si>
  <si>
    <t>Simple Regression (Marketing Spend)</t>
  </si>
  <si>
    <t>Simple Regression (Footfall)</t>
  </si>
  <si>
    <t>Model Name</t>
  </si>
  <si>
    <t>Adjusted R²</t>
  </si>
  <si>
    <t>Coefficient(s)</t>
  </si>
  <si>
    <t>Business Interpretation</t>
  </si>
  <si>
    <t>Selected?</t>
  </si>
  <si>
    <t>N/A</t>
  </si>
  <si>
    <t>(apni output se)</t>
  </si>
  <si>
    <t>Marketing spend has a positive relationship with monthly sales, but the model explains only a small portion of sales variation.</t>
  </si>
  <si>
    <t>No</t>
  </si>
  <si>
    <t>Footfall is a strong predictor of monthly sales and explains a large portion of the variation.</t>
  </si>
  <si>
    <t>Multiple</t>
  </si>
  <si>
    <t>(Significance F = 1.025E-111; individual p-values from your output if available)</t>
  </si>
  <si>
    <t>This model provides the best prediction because it combines multiple business factors and has the highest explanatory power.</t>
  </si>
  <si>
    <t>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</si>
</sst>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0" fontId="2" fillId="0" borderId="0" xfId="0" applyFont="1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11" fontId="2" fillId="0" borderId="0" xfId="0" applyNumberFormat="1" applyFont="1" applyAlignment="1">
      <alignment horizontal="right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 vs Predicted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Residual_Analysis!$C$1:$C$2</c:f>
              <c:strCache>
                <c:ptCount val="2"/>
                <c:pt idx="0">
                  <c:v>C</c:v>
                </c:pt>
                <c:pt idx="1">
                  <c:v>Residual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Residual_Analysis!$B$3:$B$322</c:f>
              <c:numCache>
                <c:formatCode>General</c:formatCode>
                <c:ptCount val="320"/>
                <c:pt idx="0">
                  <c:v>586083.8979233515</c:v>
                </c:pt>
                <c:pt idx="1">
                  <c:v>520997.743893796</c:v>
                </c:pt>
                <c:pt idx="2">
                  <c:v>686535.82719864545</c:v>
                </c:pt>
                <c:pt idx="3">
                  <c:v>700911.92480326653</c:v>
                </c:pt>
                <c:pt idx="4">
                  <c:v>719194.97343709506</c:v>
                </c:pt>
                <c:pt idx="5">
                  <c:v>753475.96637918707</c:v>
                </c:pt>
                <c:pt idx="6">
                  <c:v>678473.10562229156</c:v>
                </c:pt>
                <c:pt idx="7">
                  <c:v>602429.98593673704</c:v>
                </c:pt>
                <c:pt idx="8">
                  <c:v>643377.15096597106</c:v>
                </c:pt>
                <c:pt idx="9">
                  <c:v>830735.65536663157</c:v>
                </c:pt>
                <c:pt idx="10">
                  <c:v>575548.76172053104</c:v>
                </c:pt>
                <c:pt idx="11">
                  <c:v>582148.96474598616</c:v>
                </c:pt>
                <c:pt idx="12">
                  <c:v>717360.38259988453</c:v>
                </c:pt>
                <c:pt idx="13">
                  <c:v>772880.60171267798</c:v>
                </c:pt>
                <c:pt idx="14">
                  <c:v>701303.86519927741</c:v>
                </c:pt>
                <c:pt idx="15">
                  <c:v>712133.95004261704</c:v>
                </c:pt>
                <c:pt idx="16">
                  <c:v>854644.00253432896</c:v>
                </c:pt>
                <c:pt idx="17">
                  <c:v>708020.15418659803</c:v>
                </c:pt>
                <c:pt idx="18">
                  <c:v>661389.20763205853</c:v>
                </c:pt>
                <c:pt idx="19">
                  <c:v>746659.15311625146</c:v>
                </c:pt>
                <c:pt idx="20">
                  <c:v>653213.7882253686</c:v>
                </c:pt>
                <c:pt idx="21">
                  <c:v>726529.31134908053</c:v>
                </c:pt>
                <c:pt idx="22">
                  <c:v>830615.95839823398</c:v>
                </c:pt>
                <c:pt idx="23">
                  <c:v>657362.83492632408</c:v>
                </c:pt>
                <c:pt idx="24">
                  <c:v>683645.57604209695</c:v>
                </c:pt>
                <c:pt idx="25">
                  <c:v>613211.16880653251</c:v>
                </c:pt>
                <c:pt idx="26">
                  <c:v>671579.35442276997</c:v>
                </c:pt>
                <c:pt idx="27">
                  <c:v>849311.71548978204</c:v>
                </c:pt>
                <c:pt idx="28">
                  <c:v>678694.11785449553</c:v>
                </c:pt>
                <c:pt idx="29">
                  <c:v>715554.69272997312</c:v>
                </c:pt>
                <c:pt idx="30">
                  <c:v>560761.89574883552</c:v>
                </c:pt>
                <c:pt idx="31">
                  <c:v>700649.51763825002</c:v>
                </c:pt>
                <c:pt idx="32">
                  <c:v>708004.31652626104</c:v>
                </c:pt>
                <c:pt idx="33">
                  <c:v>815613.69651299994</c:v>
                </c:pt>
                <c:pt idx="34">
                  <c:v>580033.83227051399</c:v>
                </c:pt>
                <c:pt idx="35">
                  <c:v>629289.93211915705</c:v>
                </c:pt>
                <c:pt idx="36">
                  <c:v>727776.72047763749</c:v>
                </c:pt>
                <c:pt idx="37">
                  <c:v>621961.61492604949</c:v>
                </c:pt>
                <c:pt idx="38">
                  <c:v>726354.96243427158</c:v>
                </c:pt>
                <c:pt idx="39">
                  <c:v>788827.91875408194</c:v>
                </c:pt>
                <c:pt idx="40">
                  <c:v>566984.50486259907</c:v>
                </c:pt>
                <c:pt idx="41">
                  <c:v>713918.06202612049</c:v>
                </c:pt>
                <c:pt idx="42">
                  <c:v>626956.797649774</c:v>
                </c:pt>
                <c:pt idx="43">
                  <c:v>673098.30492441112</c:v>
                </c:pt>
                <c:pt idx="44">
                  <c:v>715681.90306399344</c:v>
                </c:pt>
                <c:pt idx="45">
                  <c:v>826939.15254975087</c:v>
                </c:pt>
                <c:pt idx="46">
                  <c:v>774253.05402523035</c:v>
                </c:pt>
                <c:pt idx="47">
                  <c:v>732519.64440690598</c:v>
                </c:pt>
                <c:pt idx="48">
                  <c:v>645576.761643823</c:v>
                </c:pt>
                <c:pt idx="49">
                  <c:v>580724.49049938505</c:v>
                </c:pt>
                <c:pt idx="50">
                  <c:v>596395.18749429355</c:v>
                </c:pt>
                <c:pt idx="51">
                  <c:v>665041.77023345302</c:v>
                </c:pt>
                <c:pt idx="52">
                  <c:v>709185.67994959501</c:v>
                </c:pt>
                <c:pt idx="53">
                  <c:v>797945.799965585</c:v>
                </c:pt>
                <c:pt idx="54">
                  <c:v>639211.36446418997</c:v>
                </c:pt>
                <c:pt idx="55">
                  <c:v>735501.17294221791</c:v>
                </c:pt>
                <c:pt idx="56">
                  <c:v>520487.48534743552</c:v>
                </c:pt>
                <c:pt idx="57">
                  <c:v>670818.58308499097</c:v>
                </c:pt>
                <c:pt idx="58">
                  <c:v>656904.33822978253</c:v>
                </c:pt>
                <c:pt idx="59">
                  <c:v>742511.33348891349</c:v>
                </c:pt>
                <c:pt idx="60">
                  <c:v>688659.46376621048</c:v>
                </c:pt>
                <c:pt idx="61">
                  <c:v>787450.65262442955</c:v>
                </c:pt>
                <c:pt idx="62">
                  <c:v>619926.92192888807</c:v>
                </c:pt>
                <c:pt idx="63">
                  <c:v>627329.57486878906</c:v>
                </c:pt>
                <c:pt idx="64">
                  <c:v>682860.98871842504</c:v>
                </c:pt>
                <c:pt idx="65">
                  <c:v>491713.36228986748</c:v>
                </c:pt>
                <c:pt idx="66">
                  <c:v>884637.27868833893</c:v>
                </c:pt>
                <c:pt idx="67">
                  <c:v>702574.7101508599</c:v>
                </c:pt>
                <c:pt idx="68">
                  <c:v>678494.39471909648</c:v>
                </c:pt>
                <c:pt idx="69">
                  <c:v>639222.26207904005</c:v>
                </c:pt>
                <c:pt idx="70">
                  <c:v>656556.73992696742</c:v>
                </c:pt>
                <c:pt idx="71">
                  <c:v>733203.99676148104</c:v>
                </c:pt>
                <c:pt idx="72">
                  <c:v>551767.00155507657</c:v>
                </c:pt>
                <c:pt idx="73">
                  <c:v>739725.5774049235</c:v>
                </c:pt>
                <c:pt idx="74">
                  <c:v>640261.56607638113</c:v>
                </c:pt>
                <c:pt idx="75">
                  <c:v>613590.84904371202</c:v>
                </c:pt>
                <c:pt idx="76">
                  <c:v>621078.05389147555</c:v>
                </c:pt>
                <c:pt idx="77">
                  <c:v>584577.82694219751</c:v>
                </c:pt>
                <c:pt idx="78">
                  <c:v>716225.72130990855</c:v>
                </c:pt>
                <c:pt idx="79">
                  <c:v>775838.34940936742</c:v>
                </c:pt>
                <c:pt idx="80">
                  <c:v>701378.29924930295</c:v>
                </c:pt>
                <c:pt idx="81">
                  <c:v>776233.32588672999</c:v>
                </c:pt>
                <c:pt idx="82">
                  <c:v>861899.73194036353</c:v>
                </c:pt>
                <c:pt idx="83">
                  <c:v>717819.41636380053</c:v>
                </c:pt>
                <c:pt idx="84">
                  <c:v>744259.02598596201</c:v>
                </c:pt>
                <c:pt idx="85">
                  <c:v>714598.84237037855</c:v>
                </c:pt>
                <c:pt idx="86">
                  <c:v>713370.17338849953</c:v>
                </c:pt>
                <c:pt idx="87">
                  <c:v>700843.09130251349</c:v>
                </c:pt>
                <c:pt idx="88">
                  <c:v>787213.994469219</c:v>
                </c:pt>
                <c:pt idx="89">
                  <c:v>824887.74248842953</c:v>
                </c:pt>
                <c:pt idx="90">
                  <c:v>582147.53765742097</c:v>
                </c:pt>
                <c:pt idx="91">
                  <c:v>723768.57068315148</c:v>
                </c:pt>
                <c:pt idx="92">
                  <c:v>706671.65547811158</c:v>
                </c:pt>
                <c:pt idx="93">
                  <c:v>691520.64776077855</c:v>
                </c:pt>
                <c:pt idx="94">
                  <c:v>652928.431971265</c:v>
                </c:pt>
                <c:pt idx="95">
                  <c:v>514639.00863639696</c:v>
                </c:pt>
                <c:pt idx="96">
                  <c:v>583369.12153427291</c:v>
                </c:pt>
                <c:pt idx="97">
                  <c:v>615374.31027253892</c:v>
                </c:pt>
                <c:pt idx="98">
                  <c:v>742039.99490925111</c:v>
                </c:pt>
                <c:pt idx="99">
                  <c:v>643132.88020105509</c:v>
                </c:pt>
                <c:pt idx="100">
                  <c:v>497284.417117659</c:v>
                </c:pt>
                <c:pt idx="101">
                  <c:v>512658.33838858199</c:v>
                </c:pt>
                <c:pt idx="102">
                  <c:v>549191.25501810643</c:v>
                </c:pt>
                <c:pt idx="103">
                  <c:v>678026.03093651461</c:v>
                </c:pt>
                <c:pt idx="104">
                  <c:v>814600.49370820646</c:v>
                </c:pt>
                <c:pt idx="105">
                  <c:v>809046.79956294596</c:v>
                </c:pt>
                <c:pt idx="106">
                  <c:v>531837.61849834141</c:v>
                </c:pt>
                <c:pt idx="107">
                  <c:v>697185.79263002344</c:v>
                </c:pt>
                <c:pt idx="108">
                  <c:v>789166.11286286754</c:v>
                </c:pt>
                <c:pt idx="109">
                  <c:v>678138.29660131806</c:v>
                </c:pt>
                <c:pt idx="110">
                  <c:v>733587.03238021699</c:v>
                </c:pt>
                <c:pt idx="111">
                  <c:v>754671.05148908705</c:v>
                </c:pt>
                <c:pt idx="112">
                  <c:v>794283.75106072845</c:v>
                </c:pt>
                <c:pt idx="113">
                  <c:v>576161.43343534099</c:v>
                </c:pt>
                <c:pt idx="114">
                  <c:v>696660.68790280947</c:v>
                </c:pt>
                <c:pt idx="115">
                  <c:v>686512.37164572801</c:v>
                </c:pt>
                <c:pt idx="116">
                  <c:v>472320.84508134198</c:v>
                </c:pt>
                <c:pt idx="117">
                  <c:v>766120.50986641867</c:v>
                </c:pt>
                <c:pt idx="118">
                  <c:v>611527.97151042742</c:v>
                </c:pt>
                <c:pt idx="119">
                  <c:v>684878.95289796242</c:v>
                </c:pt>
                <c:pt idx="120">
                  <c:v>751758.40831847</c:v>
                </c:pt>
                <c:pt idx="121">
                  <c:v>523874.15521790902</c:v>
                </c:pt>
                <c:pt idx="122">
                  <c:v>724590.65541911498</c:v>
                </c:pt>
                <c:pt idx="123">
                  <c:v>525898.27827355952</c:v>
                </c:pt>
                <c:pt idx="124">
                  <c:v>594887.21876282757</c:v>
                </c:pt>
                <c:pt idx="125">
                  <c:v>667018.31843218207</c:v>
                </c:pt>
                <c:pt idx="126">
                  <c:v>701599.62828349089</c:v>
                </c:pt>
                <c:pt idx="127">
                  <c:v>690374.11465656501</c:v>
                </c:pt>
                <c:pt idx="128">
                  <c:v>635553.04105854256</c:v>
                </c:pt>
                <c:pt idx="129">
                  <c:v>701655.3422906741</c:v>
                </c:pt>
                <c:pt idx="130">
                  <c:v>596472.2565325005</c:v>
                </c:pt>
                <c:pt idx="131">
                  <c:v>834693.270177442</c:v>
                </c:pt>
                <c:pt idx="132">
                  <c:v>635513.08658367558</c:v>
                </c:pt>
                <c:pt idx="133">
                  <c:v>719925.8512580411</c:v>
                </c:pt>
                <c:pt idx="134">
                  <c:v>664097.36123999604</c:v>
                </c:pt>
                <c:pt idx="135">
                  <c:v>577078.50610687607</c:v>
                </c:pt>
                <c:pt idx="136">
                  <c:v>732510.51497836004</c:v>
                </c:pt>
                <c:pt idx="137">
                  <c:v>548894.59944695549</c:v>
                </c:pt>
                <c:pt idx="138">
                  <c:v>567786.51835416653</c:v>
                </c:pt>
                <c:pt idx="139">
                  <c:v>526916.9989460319</c:v>
                </c:pt>
                <c:pt idx="140">
                  <c:v>814702.75398472103</c:v>
                </c:pt>
                <c:pt idx="141">
                  <c:v>727626.29727331107</c:v>
                </c:pt>
                <c:pt idx="142">
                  <c:v>524189.7597195555</c:v>
                </c:pt>
                <c:pt idx="143">
                  <c:v>797468.04402299493</c:v>
                </c:pt>
                <c:pt idx="144">
                  <c:v>663409.58446305455</c:v>
                </c:pt>
                <c:pt idx="145">
                  <c:v>826594.52880777849</c:v>
                </c:pt>
                <c:pt idx="146">
                  <c:v>744293.14904170099</c:v>
                </c:pt>
                <c:pt idx="147">
                  <c:v>601779.31176459359</c:v>
                </c:pt>
                <c:pt idx="148">
                  <c:v>614973.33384111896</c:v>
                </c:pt>
                <c:pt idx="149">
                  <c:v>499208.27580065205</c:v>
                </c:pt>
                <c:pt idx="150">
                  <c:v>782910.12974405254</c:v>
                </c:pt>
                <c:pt idx="151">
                  <c:v>701988.40370542102</c:v>
                </c:pt>
                <c:pt idx="152">
                  <c:v>622891.18807054963</c:v>
                </c:pt>
                <c:pt idx="153">
                  <c:v>802927.08863828948</c:v>
                </c:pt>
                <c:pt idx="154">
                  <c:v>669685.467635134</c:v>
                </c:pt>
                <c:pt idx="155">
                  <c:v>681265.09869112703</c:v>
                </c:pt>
                <c:pt idx="156">
                  <c:v>642136.91719715646</c:v>
                </c:pt>
                <c:pt idx="157">
                  <c:v>826997.42038802104</c:v>
                </c:pt>
                <c:pt idx="158">
                  <c:v>727480.96427174704</c:v>
                </c:pt>
                <c:pt idx="159">
                  <c:v>609301.61430112005</c:v>
                </c:pt>
                <c:pt idx="160">
                  <c:v>609459.47592702985</c:v>
                </c:pt>
                <c:pt idx="161">
                  <c:v>675055.27209292096</c:v>
                </c:pt>
                <c:pt idx="162">
                  <c:v>859807.26517041656</c:v>
                </c:pt>
                <c:pt idx="163">
                  <c:v>502036.79202793154</c:v>
                </c:pt>
                <c:pt idx="164">
                  <c:v>603689.62838498957</c:v>
                </c:pt>
                <c:pt idx="165">
                  <c:v>717392.78108591994</c:v>
                </c:pt>
                <c:pt idx="166">
                  <c:v>564873.52503412706</c:v>
                </c:pt>
                <c:pt idx="167">
                  <c:v>756910.94548383751</c:v>
                </c:pt>
                <c:pt idx="168">
                  <c:v>789252.74275477801</c:v>
                </c:pt>
                <c:pt idx="169">
                  <c:v>615977.39810244541</c:v>
                </c:pt>
                <c:pt idx="170">
                  <c:v>768358.94903545745</c:v>
                </c:pt>
                <c:pt idx="171">
                  <c:v>768599.10945481248</c:v>
                </c:pt>
                <c:pt idx="172">
                  <c:v>843789.99023971357</c:v>
                </c:pt>
                <c:pt idx="173">
                  <c:v>698097.50886016048</c:v>
                </c:pt>
                <c:pt idx="174">
                  <c:v>506092.57430877653</c:v>
                </c:pt>
                <c:pt idx="175">
                  <c:v>716191.6900160365</c:v>
                </c:pt>
                <c:pt idx="176">
                  <c:v>621814.83340693649</c:v>
                </c:pt>
                <c:pt idx="177">
                  <c:v>954431.03935467859</c:v>
                </c:pt>
                <c:pt idx="178">
                  <c:v>827269.98061873205</c:v>
                </c:pt>
                <c:pt idx="179">
                  <c:v>641110.76094777242</c:v>
                </c:pt>
                <c:pt idx="180">
                  <c:v>579174.65768036002</c:v>
                </c:pt>
                <c:pt idx="181">
                  <c:v>673827.85096377903</c:v>
                </c:pt>
                <c:pt idx="182">
                  <c:v>700311.45801829302</c:v>
                </c:pt>
                <c:pt idx="183">
                  <c:v>644548.55340985651</c:v>
                </c:pt>
                <c:pt idx="184">
                  <c:v>708889.88303824654</c:v>
                </c:pt>
                <c:pt idx="185">
                  <c:v>765448.13354066154</c:v>
                </c:pt>
                <c:pt idx="186">
                  <c:v>581135.61265262857</c:v>
                </c:pt>
                <c:pt idx="187">
                  <c:v>657141.34627753962</c:v>
                </c:pt>
                <c:pt idx="188">
                  <c:v>711295.14879728656</c:v>
                </c:pt>
                <c:pt idx="189">
                  <c:v>736135.65312768705</c:v>
                </c:pt>
                <c:pt idx="190">
                  <c:v>653271.57792847697</c:v>
                </c:pt>
                <c:pt idx="191">
                  <c:v>820004.20453664241</c:v>
                </c:pt>
                <c:pt idx="192">
                  <c:v>771179.06197028444</c:v>
                </c:pt>
                <c:pt idx="193">
                  <c:v>576350.97625441453</c:v>
                </c:pt>
                <c:pt idx="194">
                  <c:v>461606.582380648</c:v>
                </c:pt>
                <c:pt idx="195">
                  <c:v>454363.67668948194</c:v>
                </c:pt>
                <c:pt idx="196">
                  <c:v>662669.92349744204</c:v>
                </c:pt>
                <c:pt idx="197">
                  <c:v>613851.97001965495</c:v>
                </c:pt>
                <c:pt idx="198">
                  <c:v>758987.50679577654</c:v>
                </c:pt>
                <c:pt idx="199">
                  <c:v>816750.95664369094</c:v>
                </c:pt>
                <c:pt idx="200">
                  <c:v>709643.29280637496</c:v>
                </c:pt>
                <c:pt idx="201">
                  <c:v>605775.43908286747</c:v>
                </c:pt>
                <c:pt idx="202">
                  <c:v>512925.23569891194</c:v>
                </c:pt>
                <c:pt idx="203">
                  <c:v>824279.36155896995</c:v>
                </c:pt>
                <c:pt idx="204">
                  <c:v>625027.09302456444</c:v>
                </c:pt>
                <c:pt idx="205">
                  <c:v>792184.146257816</c:v>
                </c:pt>
                <c:pt idx="206">
                  <c:v>693087.86662892648</c:v>
                </c:pt>
                <c:pt idx="207">
                  <c:v>749991.85531648912</c:v>
                </c:pt>
                <c:pt idx="208">
                  <c:v>812490.68123428198</c:v>
                </c:pt>
                <c:pt idx="209">
                  <c:v>744558.53703311249</c:v>
                </c:pt>
                <c:pt idx="210">
                  <c:v>728713.24179427105</c:v>
                </c:pt>
                <c:pt idx="211">
                  <c:v>541998.16142870311</c:v>
                </c:pt>
                <c:pt idx="212">
                  <c:v>826213.9826739534</c:v>
                </c:pt>
                <c:pt idx="213">
                  <c:v>657238.16450763249</c:v>
                </c:pt>
                <c:pt idx="214">
                  <c:v>648480.19047397096</c:v>
                </c:pt>
                <c:pt idx="215">
                  <c:v>858482.70309165004</c:v>
                </c:pt>
                <c:pt idx="216">
                  <c:v>495353.12790566747</c:v>
                </c:pt>
                <c:pt idx="217">
                  <c:v>802434.94572373445</c:v>
                </c:pt>
                <c:pt idx="218">
                  <c:v>695785.98515679489</c:v>
                </c:pt>
                <c:pt idx="219">
                  <c:v>640398.94692374102</c:v>
                </c:pt>
                <c:pt idx="220">
                  <c:v>647552.28869024001</c:v>
                </c:pt>
                <c:pt idx="221">
                  <c:v>610899.88653833955</c:v>
                </c:pt>
                <c:pt idx="222">
                  <c:v>618492.60347950505</c:v>
                </c:pt>
                <c:pt idx="223">
                  <c:v>656391.69537975895</c:v>
                </c:pt>
                <c:pt idx="224">
                  <c:v>781565.20333373151</c:v>
                </c:pt>
                <c:pt idx="225">
                  <c:v>755265.48630724696</c:v>
                </c:pt>
                <c:pt idx="226">
                  <c:v>772363.39190678101</c:v>
                </c:pt>
                <c:pt idx="227">
                  <c:v>737484.20101395354</c:v>
                </c:pt>
                <c:pt idx="228">
                  <c:v>805347.53236839653</c:v>
                </c:pt>
                <c:pt idx="229">
                  <c:v>700877.99852430599</c:v>
                </c:pt>
                <c:pt idx="230">
                  <c:v>779925.08268737257</c:v>
                </c:pt>
                <c:pt idx="231">
                  <c:v>726072.05264030048</c:v>
                </c:pt>
                <c:pt idx="232">
                  <c:v>636368.08354555198</c:v>
                </c:pt>
                <c:pt idx="233">
                  <c:v>783586.28608910902</c:v>
                </c:pt>
                <c:pt idx="234">
                  <c:v>609482.44233353843</c:v>
                </c:pt>
                <c:pt idx="235">
                  <c:v>689841.37480053306</c:v>
                </c:pt>
                <c:pt idx="236">
                  <c:v>747157.34408983146</c:v>
                </c:pt>
                <c:pt idx="237">
                  <c:v>637113.27442551195</c:v>
                </c:pt>
                <c:pt idx="238">
                  <c:v>646288.82268900156</c:v>
                </c:pt>
                <c:pt idx="239">
                  <c:v>708075.89913234301</c:v>
                </c:pt>
                <c:pt idx="240">
                  <c:v>518154.34308023204</c:v>
                </c:pt>
                <c:pt idx="241">
                  <c:v>634368.45024664735</c:v>
                </c:pt>
                <c:pt idx="242">
                  <c:v>733042.66881239496</c:v>
                </c:pt>
                <c:pt idx="243">
                  <c:v>748308.24294919707</c:v>
                </c:pt>
                <c:pt idx="244">
                  <c:v>575233.66897635348</c:v>
                </c:pt>
                <c:pt idx="245">
                  <c:v>629175.56488526205</c:v>
                </c:pt>
                <c:pt idx="246">
                  <c:v>693996.24964966811</c:v>
                </c:pt>
                <c:pt idx="247">
                  <c:v>556741.32321541396</c:v>
                </c:pt>
                <c:pt idx="248">
                  <c:v>752040.2206910986</c:v>
                </c:pt>
                <c:pt idx="249">
                  <c:v>665151.09632888506</c:v>
                </c:pt>
                <c:pt idx="250">
                  <c:v>746750.02105088113</c:v>
                </c:pt>
                <c:pt idx="251">
                  <c:v>584392.34495878906</c:v>
                </c:pt>
                <c:pt idx="252">
                  <c:v>647271.24648357206</c:v>
                </c:pt>
                <c:pt idx="253">
                  <c:v>617077.29814818851</c:v>
                </c:pt>
                <c:pt idx="254">
                  <c:v>584435.13791921793</c:v>
                </c:pt>
                <c:pt idx="255">
                  <c:v>605740.70033698506</c:v>
                </c:pt>
                <c:pt idx="256">
                  <c:v>630586.91287684243</c:v>
                </c:pt>
                <c:pt idx="257">
                  <c:v>729907.65974188899</c:v>
                </c:pt>
                <c:pt idx="258">
                  <c:v>657311.69938325742</c:v>
                </c:pt>
                <c:pt idx="259">
                  <c:v>647272.91490481561</c:v>
                </c:pt>
                <c:pt idx="260">
                  <c:v>574165.17673854041</c:v>
                </c:pt>
                <c:pt idx="261">
                  <c:v>595915.27560926951</c:v>
                </c:pt>
                <c:pt idx="262">
                  <c:v>645578.06490263448</c:v>
                </c:pt>
                <c:pt idx="263">
                  <c:v>778955.17159457703</c:v>
                </c:pt>
                <c:pt idx="264">
                  <c:v>757782.62151526147</c:v>
                </c:pt>
                <c:pt idx="265">
                  <c:v>725419.39276947593</c:v>
                </c:pt>
                <c:pt idx="266">
                  <c:v>599252.51211451658</c:v>
                </c:pt>
                <c:pt idx="267">
                  <c:v>840721.02381081553</c:v>
                </c:pt>
                <c:pt idx="268">
                  <c:v>738708.60420607706</c:v>
                </c:pt>
                <c:pt idx="269">
                  <c:v>700979.50862591655</c:v>
                </c:pt>
                <c:pt idx="270">
                  <c:v>588797.86336204794</c:v>
                </c:pt>
                <c:pt idx="271">
                  <c:v>530087.40547509002</c:v>
                </c:pt>
                <c:pt idx="272">
                  <c:v>570756.6584974085</c:v>
                </c:pt>
                <c:pt idx="273">
                  <c:v>582721.82632365706</c:v>
                </c:pt>
                <c:pt idx="274">
                  <c:v>727527.48112819449</c:v>
                </c:pt>
                <c:pt idx="275">
                  <c:v>624458.81734343001</c:v>
                </c:pt>
                <c:pt idx="276">
                  <c:v>621248.07935257454</c:v>
                </c:pt>
                <c:pt idx="277">
                  <c:v>601335.49094902701</c:v>
                </c:pt>
                <c:pt idx="278">
                  <c:v>618762.39459938451</c:v>
                </c:pt>
                <c:pt idx="279">
                  <c:v>647751.6562363815</c:v>
                </c:pt>
                <c:pt idx="280">
                  <c:v>628017.69244414952</c:v>
                </c:pt>
                <c:pt idx="281">
                  <c:v>791057.23766929586</c:v>
                </c:pt>
                <c:pt idx="282">
                  <c:v>695138.168411611</c:v>
                </c:pt>
                <c:pt idx="283">
                  <c:v>740670.26912854856</c:v>
                </c:pt>
                <c:pt idx="284">
                  <c:v>724362.65414405253</c:v>
                </c:pt>
                <c:pt idx="285">
                  <c:v>704221.44399236154</c:v>
                </c:pt>
                <c:pt idx="286">
                  <c:v>782517.74376062304</c:v>
                </c:pt>
                <c:pt idx="287">
                  <c:v>676646.78240774805</c:v>
                </c:pt>
                <c:pt idx="288">
                  <c:v>586167.32299604197</c:v>
                </c:pt>
                <c:pt idx="289">
                  <c:v>568375.77943726955</c:v>
                </c:pt>
                <c:pt idx="290">
                  <c:v>711422.43634025753</c:v>
                </c:pt>
                <c:pt idx="291">
                  <c:v>654945.09933238954</c:v>
                </c:pt>
                <c:pt idx="292">
                  <c:v>462702.07010994595</c:v>
                </c:pt>
                <c:pt idx="293">
                  <c:v>788623.59066829446</c:v>
                </c:pt>
                <c:pt idx="294">
                  <c:v>698864.95645703352</c:v>
                </c:pt>
                <c:pt idx="295">
                  <c:v>742248.97977542446</c:v>
                </c:pt>
                <c:pt idx="296">
                  <c:v>727176.83086733811</c:v>
                </c:pt>
                <c:pt idx="297">
                  <c:v>698168.22868523805</c:v>
                </c:pt>
                <c:pt idx="298">
                  <c:v>469457.37274994701</c:v>
                </c:pt>
                <c:pt idx="299">
                  <c:v>789005.58813011006</c:v>
                </c:pt>
                <c:pt idx="300">
                  <c:v>497095.2583478025</c:v>
                </c:pt>
                <c:pt idx="301">
                  <c:v>761164.25761075504</c:v>
                </c:pt>
                <c:pt idx="302">
                  <c:v>871592.71200853656</c:v>
                </c:pt>
                <c:pt idx="303">
                  <c:v>513736.44739692193</c:v>
                </c:pt>
                <c:pt idx="304">
                  <c:v>584715.79302159301</c:v>
                </c:pt>
                <c:pt idx="305">
                  <c:v>753496.41491681256</c:v>
                </c:pt>
                <c:pt idx="306">
                  <c:v>753019.06411536655</c:v>
                </c:pt>
                <c:pt idx="307">
                  <c:v>675167.580746572</c:v>
                </c:pt>
                <c:pt idx="308">
                  <c:v>766036.87819447054</c:v>
                </c:pt>
                <c:pt idx="309">
                  <c:v>720390.80399839906</c:v>
                </c:pt>
                <c:pt idx="310">
                  <c:v>543285.91193144605</c:v>
                </c:pt>
                <c:pt idx="311">
                  <c:v>558541.85973881907</c:v>
                </c:pt>
                <c:pt idx="312">
                  <c:v>899629.43823372805</c:v>
                </c:pt>
                <c:pt idx="313">
                  <c:v>759514.96643364453</c:v>
                </c:pt>
                <c:pt idx="314">
                  <c:v>642676.08823173598</c:v>
                </c:pt>
                <c:pt idx="315">
                  <c:v>527872.27868644195</c:v>
                </c:pt>
                <c:pt idx="316">
                  <c:v>750453.31572769349</c:v>
                </c:pt>
                <c:pt idx="317">
                  <c:v>770152.08467962453</c:v>
                </c:pt>
                <c:pt idx="318">
                  <c:v>729271.61735567648</c:v>
                </c:pt>
                <c:pt idx="319">
                  <c:v>840947.73697921494</c:v>
                </c:pt>
              </c:numCache>
            </c:numRef>
          </c:xVal>
          <c:yVal>
            <c:numRef>
              <c:f>Residual_Analysis!$C$3:$C$322</c:f>
              <c:numCache>
                <c:formatCode>General</c:formatCode>
                <c:ptCount val="320"/>
                <c:pt idx="0">
                  <c:v>127527.26207664853</c:v>
                </c:pt>
                <c:pt idx="1">
                  <c:v>104516.29610620404</c:v>
                </c:pt>
                <c:pt idx="2">
                  <c:v>101179.68280135456</c:v>
                </c:pt>
                <c:pt idx="3">
                  <c:v>98135.01519673341</c:v>
                </c:pt>
                <c:pt idx="4">
                  <c:v>94121.736562904902</c:v>
                </c:pt>
                <c:pt idx="5">
                  <c:v>86632.153620812926</c:v>
                </c:pt>
                <c:pt idx="6">
                  <c:v>84689.344377708388</c:v>
                </c:pt>
                <c:pt idx="7">
                  <c:v>84307.884063262958</c:v>
                </c:pt>
                <c:pt idx="8">
                  <c:v>83864.709034028929</c:v>
                </c:pt>
                <c:pt idx="9">
                  <c:v>83808.514633368468</c:v>
                </c:pt>
                <c:pt idx="10">
                  <c:v>81880.418279469013</c:v>
                </c:pt>
                <c:pt idx="11">
                  <c:v>79778.175254013855</c:v>
                </c:pt>
                <c:pt idx="12">
                  <c:v>77793.45740011544</c:v>
                </c:pt>
                <c:pt idx="13">
                  <c:v>77283.658287322032</c:v>
                </c:pt>
                <c:pt idx="14">
                  <c:v>76995.014800722594</c:v>
                </c:pt>
                <c:pt idx="15">
                  <c:v>75953.72995738301</c:v>
                </c:pt>
                <c:pt idx="16">
                  <c:v>75937.697465670994</c:v>
                </c:pt>
                <c:pt idx="17">
                  <c:v>75561.845813401975</c:v>
                </c:pt>
                <c:pt idx="18">
                  <c:v>74120.19236794149</c:v>
                </c:pt>
                <c:pt idx="19">
                  <c:v>73859.886883748579</c:v>
                </c:pt>
                <c:pt idx="20">
                  <c:v>70091.321774631389</c:v>
                </c:pt>
                <c:pt idx="21">
                  <c:v>68935.158650919446</c:v>
                </c:pt>
                <c:pt idx="22">
                  <c:v>67415.081601766055</c:v>
                </c:pt>
                <c:pt idx="23">
                  <c:v>66853.235073675867</c:v>
                </c:pt>
                <c:pt idx="24">
                  <c:v>65914.133957903017</c:v>
                </c:pt>
                <c:pt idx="25">
                  <c:v>64429.481193467509</c:v>
                </c:pt>
                <c:pt idx="26">
                  <c:v>64207.285577230039</c:v>
                </c:pt>
                <c:pt idx="27">
                  <c:v>61480.2245102179</c:v>
                </c:pt>
                <c:pt idx="28">
                  <c:v>60680.442145504523</c:v>
                </c:pt>
                <c:pt idx="29">
                  <c:v>60555.627270026831</c:v>
                </c:pt>
                <c:pt idx="30">
                  <c:v>60211.134251164505</c:v>
                </c:pt>
                <c:pt idx="31">
                  <c:v>58178.122361749993</c:v>
                </c:pt>
                <c:pt idx="32">
                  <c:v>57902.633473738912</c:v>
                </c:pt>
                <c:pt idx="33">
                  <c:v>55323.703487000079</c:v>
                </c:pt>
                <c:pt idx="34">
                  <c:v>55147.51772948599</c:v>
                </c:pt>
                <c:pt idx="35">
                  <c:v>52918.07788084296</c:v>
                </c:pt>
                <c:pt idx="36">
                  <c:v>52804.229522362468</c:v>
                </c:pt>
                <c:pt idx="37">
                  <c:v>51386.94507395057</c:v>
                </c:pt>
                <c:pt idx="38">
                  <c:v>50567.207565728459</c:v>
                </c:pt>
                <c:pt idx="39">
                  <c:v>49422.401245918008</c:v>
                </c:pt>
                <c:pt idx="40">
                  <c:v>48981.975137400907</c:v>
                </c:pt>
                <c:pt idx="41">
                  <c:v>47942.127973879455</c:v>
                </c:pt>
                <c:pt idx="42">
                  <c:v>47817.292350225965</c:v>
                </c:pt>
                <c:pt idx="43">
                  <c:v>46981.23507558892</c:v>
                </c:pt>
                <c:pt idx="44">
                  <c:v>46646.406936006621</c:v>
                </c:pt>
                <c:pt idx="45">
                  <c:v>46440.867450249149</c:v>
                </c:pt>
                <c:pt idx="46">
                  <c:v>46340.875974769704</c:v>
                </c:pt>
                <c:pt idx="47">
                  <c:v>45878.325593093992</c:v>
                </c:pt>
                <c:pt idx="48">
                  <c:v>45535.838356176973</c:v>
                </c:pt>
                <c:pt idx="49">
                  <c:v>45269.339500614908</c:v>
                </c:pt>
                <c:pt idx="50">
                  <c:v>45169.412505706423</c:v>
                </c:pt>
                <c:pt idx="51">
                  <c:v>44436.619766546995</c:v>
                </c:pt>
                <c:pt idx="52">
                  <c:v>44287.870050405036</c:v>
                </c:pt>
                <c:pt idx="53">
                  <c:v>44212.120034415042</c:v>
                </c:pt>
                <c:pt idx="54">
                  <c:v>43427.915535810054</c:v>
                </c:pt>
                <c:pt idx="55">
                  <c:v>41491.757057782146</c:v>
                </c:pt>
                <c:pt idx="56">
                  <c:v>41109.844652564439</c:v>
                </c:pt>
                <c:pt idx="57">
                  <c:v>40394.876915008994</c:v>
                </c:pt>
                <c:pt idx="58">
                  <c:v>39839.811770217493</c:v>
                </c:pt>
                <c:pt idx="59">
                  <c:v>39444.186511086533</c:v>
                </c:pt>
                <c:pt idx="60">
                  <c:v>38567.736233789474</c:v>
                </c:pt>
                <c:pt idx="61">
                  <c:v>38347.25737557048</c:v>
                </c:pt>
                <c:pt idx="62">
                  <c:v>38145.218071111944</c:v>
                </c:pt>
                <c:pt idx="63">
                  <c:v>38012.915131210932</c:v>
                </c:pt>
                <c:pt idx="64">
                  <c:v>37991.51128157496</c:v>
                </c:pt>
                <c:pt idx="65">
                  <c:v>37885.577710132464</c:v>
                </c:pt>
                <c:pt idx="66">
                  <c:v>37531.321311661042</c:v>
                </c:pt>
                <c:pt idx="67">
                  <c:v>37527.929849140113</c:v>
                </c:pt>
                <c:pt idx="68">
                  <c:v>37396.135280903545</c:v>
                </c:pt>
                <c:pt idx="69">
                  <c:v>37115.147920959978</c:v>
                </c:pt>
                <c:pt idx="70">
                  <c:v>34890.690073032631</c:v>
                </c:pt>
                <c:pt idx="71">
                  <c:v>34588.943238518899</c:v>
                </c:pt>
                <c:pt idx="72">
                  <c:v>34540.218444923405</c:v>
                </c:pt>
                <c:pt idx="73">
                  <c:v>34089.56259507651</c:v>
                </c:pt>
                <c:pt idx="74">
                  <c:v>34027.533923618845</c:v>
                </c:pt>
                <c:pt idx="75">
                  <c:v>33922.000956287957</c:v>
                </c:pt>
                <c:pt idx="76">
                  <c:v>33239.036108524422</c:v>
                </c:pt>
                <c:pt idx="77">
                  <c:v>30222.263057802455</c:v>
                </c:pt>
                <c:pt idx="78">
                  <c:v>29354.78869009146</c:v>
                </c:pt>
                <c:pt idx="79">
                  <c:v>29137.150590632576</c:v>
                </c:pt>
                <c:pt idx="80">
                  <c:v>26579.180750697036</c:v>
                </c:pt>
                <c:pt idx="81">
                  <c:v>25768.354113270063</c:v>
                </c:pt>
                <c:pt idx="82">
                  <c:v>25638.018059636466</c:v>
                </c:pt>
                <c:pt idx="83">
                  <c:v>25529.423636199441</c:v>
                </c:pt>
                <c:pt idx="84">
                  <c:v>25443.734014037997</c:v>
                </c:pt>
                <c:pt idx="85">
                  <c:v>25253.737629621406</c:v>
                </c:pt>
                <c:pt idx="86">
                  <c:v>25178.246611500508</c:v>
                </c:pt>
                <c:pt idx="87">
                  <c:v>25004.898697486497</c:v>
                </c:pt>
                <c:pt idx="88">
                  <c:v>24938.605530780973</c:v>
                </c:pt>
                <c:pt idx="89">
                  <c:v>24130.557511570514</c:v>
                </c:pt>
                <c:pt idx="90">
                  <c:v>23030.462342579034</c:v>
                </c:pt>
                <c:pt idx="91">
                  <c:v>22909.179316848516</c:v>
                </c:pt>
                <c:pt idx="92">
                  <c:v>22752.764521888457</c:v>
                </c:pt>
                <c:pt idx="93">
                  <c:v>22563.032239221502</c:v>
                </c:pt>
                <c:pt idx="94">
                  <c:v>22249.248028735048</c:v>
                </c:pt>
                <c:pt idx="95">
                  <c:v>21906.48136360303</c:v>
                </c:pt>
                <c:pt idx="96">
                  <c:v>21654.748465727083</c:v>
                </c:pt>
                <c:pt idx="97">
                  <c:v>21238.919727461063</c:v>
                </c:pt>
                <c:pt idx="98">
                  <c:v>21119.925090748933</c:v>
                </c:pt>
                <c:pt idx="99">
                  <c:v>21029.609798944904</c:v>
                </c:pt>
                <c:pt idx="100">
                  <c:v>20764.842882341007</c:v>
                </c:pt>
                <c:pt idx="101">
                  <c:v>19986.12161141797</c:v>
                </c:pt>
                <c:pt idx="102">
                  <c:v>19909.524981893599</c:v>
                </c:pt>
                <c:pt idx="103">
                  <c:v>19862.059063485358</c:v>
                </c:pt>
                <c:pt idx="104">
                  <c:v>19416.526291793562</c:v>
                </c:pt>
                <c:pt idx="105">
                  <c:v>19172.87043705408</c:v>
                </c:pt>
                <c:pt idx="106">
                  <c:v>19125.311501658638</c:v>
                </c:pt>
                <c:pt idx="107">
                  <c:v>17911.777369976509</c:v>
                </c:pt>
                <c:pt idx="108">
                  <c:v>17449.427137132501</c:v>
                </c:pt>
                <c:pt idx="109">
                  <c:v>16960.213398681954</c:v>
                </c:pt>
                <c:pt idx="110">
                  <c:v>16884.30761978298</c:v>
                </c:pt>
                <c:pt idx="111">
                  <c:v>16458.018510912894</c:v>
                </c:pt>
                <c:pt idx="112">
                  <c:v>16162.778939271579</c:v>
                </c:pt>
                <c:pt idx="113">
                  <c:v>16034.416564658983</c:v>
                </c:pt>
                <c:pt idx="114">
                  <c:v>15559.122097190586</c:v>
                </c:pt>
                <c:pt idx="115">
                  <c:v>15540.098354271962</c:v>
                </c:pt>
                <c:pt idx="116">
                  <c:v>15417.414918658033</c:v>
                </c:pt>
                <c:pt idx="117">
                  <c:v>14223.670133581385</c:v>
                </c:pt>
                <c:pt idx="118">
                  <c:v>14144.888489572564</c:v>
                </c:pt>
                <c:pt idx="119">
                  <c:v>13613.717102037626</c:v>
                </c:pt>
                <c:pt idx="120">
                  <c:v>13190.591681530001</c:v>
                </c:pt>
                <c:pt idx="121">
                  <c:v>12971.264782091021</c:v>
                </c:pt>
                <c:pt idx="122">
                  <c:v>12479.524580885074</c:v>
                </c:pt>
                <c:pt idx="123">
                  <c:v>11485.511726440513</c:v>
                </c:pt>
                <c:pt idx="124">
                  <c:v>11391.081237172475</c:v>
                </c:pt>
                <c:pt idx="125">
                  <c:v>11292.851567817968</c:v>
                </c:pt>
                <c:pt idx="126">
                  <c:v>11268.721716509084</c:v>
                </c:pt>
                <c:pt idx="127">
                  <c:v>11267.85534343496</c:v>
                </c:pt>
                <c:pt idx="128">
                  <c:v>11006.668941457407</c:v>
                </c:pt>
                <c:pt idx="129">
                  <c:v>10720.427709325915</c:v>
                </c:pt>
                <c:pt idx="130">
                  <c:v>10311.413467499544</c:v>
                </c:pt>
                <c:pt idx="131">
                  <c:v>10017.399822558044</c:v>
                </c:pt>
                <c:pt idx="132">
                  <c:v>9526.8834163243882</c:v>
                </c:pt>
                <c:pt idx="133">
                  <c:v>9514.5987419588491</c:v>
                </c:pt>
                <c:pt idx="134">
                  <c:v>8573.178760003997</c:v>
                </c:pt>
                <c:pt idx="135">
                  <c:v>8287.2238931239117</c:v>
                </c:pt>
                <c:pt idx="136">
                  <c:v>7986.1350216399878</c:v>
                </c:pt>
                <c:pt idx="137">
                  <c:v>7034.8005530445371</c:v>
                </c:pt>
                <c:pt idx="138">
                  <c:v>6649.7716458335053</c:v>
                </c:pt>
                <c:pt idx="139">
                  <c:v>6204.2610539681045</c:v>
                </c:pt>
                <c:pt idx="140">
                  <c:v>6026.536015279009</c:v>
                </c:pt>
                <c:pt idx="141">
                  <c:v>5041.6227266889764</c:v>
                </c:pt>
                <c:pt idx="142">
                  <c:v>4662.8602804444963</c:v>
                </c:pt>
                <c:pt idx="143">
                  <c:v>2288.4159770050319</c:v>
                </c:pt>
                <c:pt idx="144">
                  <c:v>2185.355536945397</c:v>
                </c:pt>
                <c:pt idx="145">
                  <c:v>2029.3211922214832</c:v>
                </c:pt>
                <c:pt idx="146">
                  <c:v>1822.4409582989756</c:v>
                </c:pt>
                <c:pt idx="147">
                  <c:v>1518.2582354063634</c:v>
                </c:pt>
                <c:pt idx="148">
                  <c:v>1096.076158881071</c:v>
                </c:pt>
                <c:pt idx="149">
                  <c:v>1090.2041993479361</c:v>
                </c:pt>
                <c:pt idx="150">
                  <c:v>887.76025594747625</c:v>
                </c:pt>
                <c:pt idx="151">
                  <c:v>330.53629457892384</c:v>
                </c:pt>
                <c:pt idx="152">
                  <c:v>1.2319294504122809</c:v>
                </c:pt>
                <c:pt idx="153">
                  <c:v>-1096.7386382895056</c:v>
                </c:pt>
                <c:pt idx="154">
                  <c:v>-1226.0976351340069</c:v>
                </c:pt>
                <c:pt idx="155">
                  <c:v>-1376.3586911270395</c:v>
                </c:pt>
                <c:pt idx="156">
                  <c:v>-1470.3871971564367</c:v>
                </c:pt>
                <c:pt idx="157">
                  <c:v>-1936.9003880210221</c:v>
                </c:pt>
                <c:pt idx="158">
                  <c:v>-3134.2342717470601</c:v>
                </c:pt>
                <c:pt idx="159">
                  <c:v>-3526.2843011200894</c:v>
                </c:pt>
                <c:pt idx="160">
                  <c:v>-3708.1459270298947</c:v>
                </c:pt>
                <c:pt idx="161">
                  <c:v>-4425.7920929209795</c:v>
                </c:pt>
                <c:pt idx="162">
                  <c:v>-4465.9851704165339</c:v>
                </c:pt>
                <c:pt idx="163">
                  <c:v>-4596.972027931537</c:v>
                </c:pt>
                <c:pt idx="164">
                  <c:v>-4784.7283849895466</c:v>
                </c:pt>
                <c:pt idx="165">
                  <c:v>-4846.4010859199334</c:v>
                </c:pt>
                <c:pt idx="166">
                  <c:v>-5451.5050341270398</c:v>
                </c:pt>
                <c:pt idx="167">
                  <c:v>-5517.0654838375049</c:v>
                </c:pt>
                <c:pt idx="168">
                  <c:v>-5579.9227547780611</c:v>
                </c:pt>
                <c:pt idx="169">
                  <c:v>-6028.3981024454115</c:v>
                </c:pt>
                <c:pt idx="170">
                  <c:v>-6439.6990354574518</c:v>
                </c:pt>
                <c:pt idx="171">
                  <c:v>-6635.8794548125006</c:v>
                </c:pt>
                <c:pt idx="172">
                  <c:v>-6881.7502397135831</c:v>
                </c:pt>
                <c:pt idx="173">
                  <c:v>-6983.8888601604849</c:v>
                </c:pt>
                <c:pt idx="174">
                  <c:v>-7122.2543087765225</c:v>
                </c:pt>
                <c:pt idx="175">
                  <c:v>-7206.5000160365598</c:v>
                </c:pt>
                <c:pt idx="176">
                  <c:v>-7218.5134069365449</c:v>
                </c:pt>
                <c:pt idx="177">
                  <c:v>-7597.4993546785554</c:v>
                </c:pt>
                <c:pt idx="178">
                  <c:v>-7609.3906187320827</c:v>
                </c:pt>
                <c:pt idx="179">
                  <c:v>-7616.5509477724554</c:v>
                </c:pt>
                <c:pt idx="180">
                  <c:v>-8209.8176803600509</c:v>
                </c:pt>
                <c:pt idx="181">
                  <c:v>-8293.1509637790732</c:v>
                </c:pt>
                <c:pt idx="182">
                  <c:v>-8302.8180182930082</c:v>
                </c:pt>
                <c:pt idx="183">
                  <c:v>-8710.8134098565206</c:v>
                </c:pt>
                <c:pt idx="184">
                  <c:v>-8811.5630382465897</c:v>
                </c:pt>
                <c:pt idx="185">
                  <c:v>-8828.3635406615213</c:v>
                </c:pt>
                <c:pt idx="186">
                  <c:v>-9124.4126526286127</c:v>
                </c:pt>
                <c:pt idx="187">
                  <c:v>-9187.5662775395904</c:v>
                </c:pt>
                <c:pt idx="188">
                  <c:v>-9226.2287972865161</c:v>
                </c:pt>
                <c:pt idx="189">
                  <c:v>-9359.4331276870798</c:v>
                </c:pt>
                <c:pt idx="190">
                  <c:v>-9614.1079284769949</c:v>
                </c:pt>
                <c:pt idx="191">
                  <c:v>-9649.184536642395</c:v>
                </c:pt>
                <c:pt idx="192">
                  <c:v>-10101.981970284483</c:v>
                </c:pt>
                <c:pt idx="193">
                  <c:v>-10539.986254414544</c:v>
                </c:pt>
                <c:pt idx="194">
                  <c:v>-10894.66238064802</c:v>
                </c:pt>
                <c:pt idx="195">
                  <c:v>-11088.086689481919</c:v>
                </c:pt>
                <c:pt idx="196">
                  <c:v>-11874.433497442049</c:v>
                </c:pt>
                <c:pt idx="197">
                  <c:v>-12283.100019654958</c:v>
                </c:pt>
                <c:pt idx="198">
                  <c:v>-12486.416795776575</c:v>
                </c:pt>
                <c:pt idx="199">
                  <c:v>-12486.956643690937</c:v>
                </c:pt>
                <c:pt idx="200">
                  <c:v>-12487.99280637491</c:v>
                </c:pt>
                <c:pt idx="201">
                  <c:v>-12528.189082867466</c:v>
                </c:pt>
                <c:pt idx="202">
                  <c:v>-12752.215698911925</c:v>
                </c:pt>
                <c:pt idx="203">
                  <c:v>-12826.641558969975</c:v>
                </c:pt>
                <c:pt idx="204">
                  <c:v>-13102.823024564423</c:v>
                </c:pt>
                <c:pt idx="205">
                  <c:v>-13173.206257816055</c:v>
                </c:pt>
                <c:pt idx="206">
                  <c:v>-13356.296628926531</c:v>
                </c:pt>
                <c:pt idx="207">
                  <c:v>-13358.455316489097</c:v>
                </c:pt>
                <c:pt idx="208">
                  <c:v>-13538.511234281934</c:v>
                </c:pt>
                <c:pt idx="209">
                  <c:v>-13668.527033112478</c:v>
                </c:pt>
                <c:pt idx="210">
                  <c:v>-13770.811794270994</c:v>
                </c:pt>
                <c:pt idx="211">
                  <c:v>-14316.601428703056</c:v>
                </c:pt>
                <c:pt idx="212">
                  <c:v>-14442.84267395339</c:v>
                </c:pt>
                <c:pt idx="213">
                  <c:v>-14486.744507632451</c:v>
                </c:pt>
                <c:pt idx="214">
                  <c:v>-15470.660473970929</c:v>
                </c:pt>
                <c:pt idx="215">
                  <c:v>-16043.033091649995</c:v>
                </c:pt>
                <c:pt idx="216">
                  <c:v>-16302.627905667468</c:v>
                </c:pt>
                <c:pt idx="217">
                  <c:v>-17406.695723734447</c:v>
                </c:pt>
                <c:pt idx="218">
                  <c:v>-18689.275156794931</c:v>
                </c:pt>
                <c:pt idx="219">
                  <c:v>-18721.646923740976</c:v>
                </c:pt>
                <c:pt idx="220">
                  <c:v>-19013.988690239959</c:v>
                </c:pt>
                <c:pt idx="221">
                  <c:v>-19279.936538339593</c:v>
                </c:pt>
                <c:pt idx="222">
                  <c:v>-19475.273479505093</c:v>
                </c:pt>
                <c:pt idx="223">
                  <c:v>-19616.03537975892</c:v>
                </c:pt>
                <c:pt idx="224">
                  <c:v>-19729.86333373154</c:v>
                </c:pt>
                <c:pt idx="225">
                  <c:v>-19785.296307247016</c:v>
                </c:pt>
                <c:pt idx="226">
                  <c:v>-20041.671906781034</c:v>
                </c:pt>
                <c:pt idx="227">
                  <c:v>-20342.651013953495</c:v>
                </c:pt>
                <c:pt idx="228">
                  <c:v>-20844.852368396474</c:v>
                </c:pt>
                <c:pt idx="229">
                  <c:v>-21647.138524306007</c:v>
                </c:pt>
                <c:pt idx="230">
                  <c:v>-21786.792687372537</c:v>
                </c:pt>
                <c:pt idx="231">
                  <c:v>-22259.062640300486</c:v>
                </c:pt>
                <c:pt idx="232">
                  <c:v>-22343.173545551952</c:v>
                </c:pt>
                <c:pt idx="233">
                  <c:v>-22463.866089108982</c:v>
                </c:pt>
                <c:pt idx="234">
                  <c:v>-23544.962333538453</c:v>
                </c:pt>
                <c:pt idx="235">
                  <c:v>-23688.854800533038</c:v>
                </c:pt>
                <c:pt idx="236">
                  <c:v>-24096.584089831449</c:v>
                </c:pt>
                <c:pt idx="237">
                  <c:v>-24723.134425511933</c:v>
                </c:pt>
                <c:pt idx="238">
                  <c:v>-24919.242689001607</c:v>
                </c:pt>
                <c:pt idx="239">
                  <c:v>-26220.339132342953</c:v>
                </c:pt>
                <c:pt idx="240">
                  <c:v>-26249.213080232032</c:v>
                </c:pt>
                <c:pt idx="241">
                  <c:v>-26470.330246647354</c:v>
                </c:pt>
                <c:pt idx="242">
                  <c:v>-26757.148812394938</c:v>
                </c:pt>
                <c:pt idx="243">
                  <c:v>-26944.132949197083</c:v>
                </c:pt>
                <c:pt idx="244">
                  <c:v>-27129.968976353528</c:v>
                </c:pt>
                <c:pt idx="245">
                  <c:v>-27173.244885262102</c:v>
                </c:pt>
                <c:pt idx="246">
                  <c:v>-27423.049649668159</c:v>
                </c:pt>
                <c:pt idx="247">
                  <c:v>-27665.373215414002</c:v>
                </c:pt>
                <c:pt idx="248">
                  <c:v>-28508.820691098575</c:v>
                </c:pt>
                <c:pt idx="249">
                  <c:v>-28589.756328885094</c:v>
                </c:pt>
                <c:pt idx="250">
                  <c:v>-28675.231050881092</c:v>
                </c:pt>
                <c:pt idx="251">
                  <c:v>-28834.574958789046</c:v>
                </c:pt>
                <c:pt idx="252">
                  <c:v>-29980.096483572037</c:v>
                </c:pt>
                <c:pt idx="253">
                  <c:v>-30450.358148188563</c:v>
                </c:pt>
                <c:pt idx="254">
                  <c:v>-30678.707919217879</c:v>
                </c:pt>
                <c:pt idx="255">
                  <c:v>-32585.510336985113</c:v>
                </c:pt>
                <c:pt idx="256">
                  <c:v>-33617.642876842408</c:v>
                </c:pt>
                <c:pt idx="257">
                  <c:v>-33646.169741888996</c:v>
                </c:pt>
                <c:pt idx="258">
                  <c:v>-34499.959383257432</c:v>
                </c:pt>
                <c:pt idx="259">
                  <c:v>-35506.194904815638</c:v>
                </c:pt>
                <c:pt idx="260">
                  <c:v>-37106.846738540451</c:v>
                </c:pt>
                <c:pt idx="261">
                  <c:v>-38428.015609269496</c:v>
                </c:pt>
                <c:pt idx="262">
                  <c:v>-38493.144902634434</c:v>
                </c:pt>
                <c:pt idx="263">
                  <c:v>-39123.441594577045</c:v>
                </c:pt>
                <c:pt idx="264">
                  <c:v>-39452.091515261447</c:v>
                </c:pt>
                <c:pt idx="265">
                  <c:v>-39589.152769475942</c:v>
                </c:pt>
                <c:pt idx="266">
                  <c:v>-39591.672114516608</c:v>
                </c:pt>
                <c:pt idx="267">
                  <c:v>-39741.243810815504</c:v>
                </c:pt>
                <c:pt idx="268">
                  <c:v>-41420.704206077033</c:v>
                </c:pt>
                <c:pt idx="269">
                  <c:v>-42146.888625916559</c:v>
                </c:pt>
                <c:pt idx="270">
                  <c:v>-42574.163362047984</c:v>
                </c:pt>
                <c:pt idx="271">
                  <c:v>-42622.495475090051</c:v>
                </c:pt>
                <c:pt idx="272">
                  <c:v>-45857.088497408549</c:v>
                </c:pt>
                <c:pt idx="273">
                  <c:v>-46196.986323657096</c:v>
                </c:pt>
                <c:pt idx="274">
                  <c:v>-46687.1211281945</c:v>
                </c:pt>
                <c:pt idx="275">
                  <c:v>-46726.247343430063</c:v>
                </c:pt>
                <c:pt idx="276">
                  <c:v>-47181.469352574553</c:v>
                </c:pt>
                <c:pt idx="277">
                  <c:v>-47323.420949027059</c:v>
                </c:pt>
                <c:pt idx="278">
                  <c:v>-47799.084599384456</c:v>
                </c:pt>
                <c:pt idx="279">
                  <c:v>-48148.25623638148</c:v>
                </c:pt>
                <c:pt idx="280">
                  <c:v>-49067.852444149554</c:v>
                </c:pt>
                <c:pt idx="281">
                  <c:v>-49715.79766929592</c:v>
                </c:pt>
                <c:pt idx="282">
                  <c:v>-51709.318411611021</c:v>
                </c:pt>
                <c:pt idx="283">
                  <c:v>-52301.809128548601</c:v>
                </c:pt>
                <c:pt idx="284">
                  <c:v>-52494.064144052565</c:v>
                </c:pt>
                <c:pt idx="285">
                  <c:v>-53741.383992361487</c:v>
                </c:pt>
                <c:pt idx="286">
                  <c:v>-55911.46376062301</c:v>
                </c:pt>
                <c:pt idx="287">
                  <c:v>-56382.582407748094</c:v>
                </c:pt>
                <c:pt idx="288">
                  <c:v>-58867.192996041966</c:v>
                </c:pt>
                <c:pt idx="289">
                  <c:v>-58890.969437269552</c:v>
                </c:pt>
                <c:pt idx="290">
                  <c:v>-60258.256340257474</c:v>
                </c:pt>
                <c:pt idx="291">
                  <c:v>-61602.099332389538</c:v>
                </c:pt>
                <c:pt idx="292">
                  <c:v>-61870.420109945931</c:v>
                </c:pt>
                <c:pt idx="293">
                  <c:v>-63388.310668294434</c:v>
                </c:pt>
                <c:pt idx="294">
                  <c:v>-64428.956457033521</c:v>
                </c:pt>
                <c:pt idx="295">
                  <c:v>-66331.34977542446</c:v>
                </c:pt>
                <c:pt idx="296">
                  <c:v>-66542.84086733812</c:v>
                </c:pt>
                <c:pt idx="297">
                  <c:v>-67338.288685238105</c:v>
                </c:pt>
                <c:pt idx="298">
                  <c:v>-67874.792749946995</c:v>
                </c:pt>
                <c:pt idx="299">
                  <c:v>-67926.238130110083</c:v>
                </c:pt>
                <c:pt idx="300">
                  <c:v>-69177.8783478025</c:v>
                </c:pt>
                <c:pt idx="301">
                  <c:v>-69876.067610755097</c:v>
                </c:pt>
                <c:pt idx="302">
                  <c:v>-72114.952008536551</c:v>
                </c:pt>
                <c:pt idx="303">
                  <c:v>-72461.027396921942</c:v>
                </c:pt>
                <c:pt idx="304">
                  <c:v>-72871.383021593036</c:v>
                </c:pt>
                <c:pt idx="305">
                  <c:v>-74774.354916812503</c:v>
                </c:pt>
                <c:pt idx="306">
                  <c:v>-79942.724115366582</c:v>
                </c:pt>
                <c:pt idx="307">
                  <c:v>-81530.440746571985</c:v>
                </c:pt>
                <c:pt idx="308">
                  <c:v>-81819.558194470592</c:v>
                </c:pt>
                <c:pt idx="309">
                  <c:v>-86752.773998399032</c:v>
                </c:pt>
                <c:pt idx="310">
                  <c:v>-93820.851931446057</c:v>
                </c:pt>
                <c:pt idx="311">
                  <c:v>-95007.609738819068</c:v>
                </c:pt>
                <c:pt idx="312">
                  <c:v>-99177.498233728111</c:v>
                </c:pt>
                <c:pt idx="313">
                  <c:v>-100594.66643364448</c:v>
                </c:pt>
                <c:pt idx="314">
                  <c:v>-104300.08823173598</c:v>
                </c:pt>
                <c:pt idx="315">
                  <c:v>-112150.45868644194</c:v>
                </c:pt>
                <c:pt idx="316">
                  <c:v>-123281.41572769347</c:v>
                </c:pt>
                <c:pt idx="317">
                  <c:v>-128287.0546796245</c:v>
                </c:pt>
                <c:pt idx="318">
                  <c:v>-133804.01735567651</c:v>
                </c:pt>
                <c:pt idx="319">
                  <c:v>-155568.65697921498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D0-4A58-912A-F1BEDB24F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587263"/>
        <c:axId val="1902601663"/>
      </c:scatterChart>
      <c:valAx>
        <c:axId val="190258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601663"/>
        <c:crosses val="autoZero"/>
        <c:crossBetween val="midCat"/>
      </c:valAx>
      <c:valAx>
        <c:axId val="190260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587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Model Comparison (R Square)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Model_Comparison!$A$3</c:f>
              <c:strCache>
                <c:ptCount val="1"/>
                <c:pt idx="0">
                  <c:v>Simple Regression (Marketing Spend)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Model_Comparison!$B$1:$E$2</c:f>
              <c:multiLvlStrCache>
                <c:ptCount val="4"/>
                <c:lvl>
                  <c:pt idx="0">
                    <c:v>R Square</c:v>
                  </c:pt>
                  <c:pt idx="1">
                    <c:v>Adjusted R Square</c:v>
                  </c:pt>
                  <c:pt idx="2">
                    <c:v>Standard Error</c:v>
                  </c:pt>
                  <c:pt idx="3">
                    <c:v>Significance F</c:v>
                  </c:pt>
                </c:lvl>
                <c:lvl>
                  <c:pt idx="0">
                    <c:v>B</c:v>
                  </c:pt>
                  <c:pt idx="1">
                    <c:v>C</c:v>
                  </c:pt>
                  <c:pt idx="2">
                    <c:v>D</c:v>
                  </c:pt>
                  <c:pt idx="3">
                    <c:v>E</c:v>
                  </c:pt>
                </c:lvl>
              </c:multiLvlStrCache>
            </c:multiLvlStrRef>
          </c:cat>
          <c:val>
            <c:numRef>
              <c:f>Model_Comparison!$B$3:$E$3</c:f>
              <c:numCache>
                <c:formatCode>General</c:formatCode>
                <c:ptCount val="4"/>
                <c:pt idx="0">
                  <c:v>0.16791500000000001</c:v>
                </c:pt>
                <c:pt idx="1">
                  <c:v>0.16529099999999999</c:v>
                </c:pt>
                <c:pt idx="2">
                  <c:v>94950.67</c:v>
                </c:pt>
                <c:pt idx="3" formatCode="0.00E+00">
                  <c:v>2.3909299999999999E-14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2-418B-8D5D-5518D83FFE23}"/>
            </c:ext>
          </c:extLst>
        </c:ser>
        <c:ser>
          <c:idx val="1"/>
          <c:order val="1"/>
          <c:tx>
            <c:strRef>
              <c:f>Model_Comparison!$A$4</c:f>
              <c:strCache>
                <c:ptCount val="1"/>
                <c:pt idx="0">
                  <c:v>Simple Regression (Footfall)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Model_Comparison!$B$1:$E$2</c:f>
              <c:multiLvlStrCache>
                <c:ptCount val="4"/>
                <c:lvl>
                  <c:pt idx="0">
                    <c:v>R Square</c:v>
                  </c:pt>
                  <c:pt idx="1">
                    <c:v>Adjusted R Square</c:v>
                  </c:pt>
                  <c:pt idx="2">
                    <c:v>Standard Error</c:v>
                  </c:pt>
                  <c:pt idx="3">
                    <c:v>Significance F</c:v>
                  </c:pt>
                </c:lvl>
                <c:lvl>
                  <c:pt idx="0">
                    <c:v>B</c:v>
                  </c:pt>
                  <c:pt idx="1">
                    <c:v>C</c:v>
                  </c:pt>
                  <c:pt idx="2">
                    <c:v>D</c:v>
                  </c:pt>
                  <c:pt idx="3">
                    <c:v>E</c:v>
                  </c:pt>
                </c:lvl>
              </c:multiLvlStrCache>
            </c:multiLvlStrRef>
          </c:cat>
          <c:val>
            <c:numRef>
              <c:f>Model_Comparison!$B$4:$E$4</c:f>
              <c:numCache>
                <c:formatCode>General</c:formatCode>
                <c:ptCount val="4"/>
                <c:pt idx="0">
                  <c:v>0.73830172199999999</c:v>
                </c:pt>
                <c:pt idx="1">
                  <c:v>0.73747617600000004</c:v>
                </c:pt>
                <c:pt idx="2">
                  <c:v>53249.398229999999</c:v>
                </c:pt>
                <c:pt idx="3" formatCode="0.00E+00">
                  <c:v>2.7409899999999998E-94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02-418B-8D5D-5518D83FFE23}"/>
            </c:ext>
          </c:extLst>
        </c:ser>
        <c:ser>
          <c:idx val="2"/>
          <c:order val="2"/>
          <c:tx>
            <c:strRef>
              <c:f>Model_Comparison!$A$5</c:f>
              <c:strCache>
                <c:ptCount val="1"/>
                <c:pt idx="0">
                  <c:v>Multiple Regression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Model_Comparison!$B$1:$E$2</c:f>
              <c:multiLvlStrCache>
                <c:ptCount val="4"/>
                <c:lvl>
                  <c:pt idx="0">
                    <c:v>R Square</c:v>
                  </c:pt>
                  <c:pt idx="1">
                    <c:v>Adjusted R Square</c:v>
                  </c:pt>
                  <c:pt idx="2">
                    <c:v>Standard Error</c:v>
                  </c:pt>
                  <c:pt idx="3">
                    <c:v>Significance F</c:v>
                  </c:pt>
                </c:lvl>
                <c:lvl>
                  <c:pt idx="0">
                    <c:v>B</c:v>
                  </c:pt>
                  <c:pt idx="1">
                    <c:v>C</c:v>
                  </c:pt>
                  <c:pt idx="2">
                    <c:v>D</c:v>
                  </c:pt>
                  <c:pt idx="3">
                    <c:v>E</c:v>
                  </c:pt>
                </c:lvl>
              </c:multiLvlStrCache>
            </c:multiLvlStrRef>
          </c:cat>
          <c:val>
            <c:numRef>
              <c:f>Model_Comparison!$B$5:$E$5</c:f>
              <c:numCache>
                <c:formatCode>General</c:formatCode>
                <c:ptCount val="4"/>
                <c:pt idx="0">
                  <c:v>0.81319759999999996</c:v>
                </c:pt>
                <c:pt idx="1">
                  <c:v>0.81021350000000003</c:v>
                </c:pt>
                <c:pt idx="2">
                  <c:v>45275.469799999999</c:v>
                </c:pt>
                <c:pt idx="3" formatCode="0.00E+00">
                  <c:v>1.0249999999999999E-111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02-418B-8D5D-5518D83FF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1901247"/>
        <c:axId val="821905567"/>
      </c:barChart>
      <c:catAx>
        <c:axId val="82190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05567"/>
        <c:crosses val="autoZero"/>
        <c:auto val="1"/>
        <c:lblAlgn val="ctr"/>
        <c:lblOffset val="100"/>
        <c:noMultiLvlLbl val="0"/>
      </c:catAx>
      <c:valAx>
        <c:axId val="82190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90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Residual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Residual Distribution</a:t>
          </a:r>
        </a:p>
      </cx:txPr>
    </cx:title>
    <cx:plotArea>
      <cx:plotAreaRegion>
        <cx:series layoutId="clusteredColumn" uniqueId="{00000000-D652-477F-840B-4A2D41575FC1}" formatIdx="0">
          <cx:tx>
            <cx:txData>
              <cx:f>_xlchart.v1.0</cx:f>
              <cx:v>A Actual Sales</cx:v>
            </cx:txData>
          </cx:tx>
          <cx:dataId val="0"/>
          <cx:layoutPr>
            <cx:binning intervalClosed="r"/>
          </cx:layoutPr>
        </cx:series>
        <cx:series layoutId="clusteredColumn" hidden="1" uniqueId="{00000001-D652-477F-840B-4A2D41575FC1}" formatIdx="1">
          <cx:tx>
            <cx:txData>
              <cx:f>_xlchart.v1.2</cx:f>
              <cx:v>B Predicted Sales</cx:v>
            </cx:txData>
          </cx:tx>
          <cx:dataId val="1"/>
          <cx:layoutPr>
            <cx:binning intervalClosed="r"/>
          </cx:layoutPr>
        </cx:series>
        <cx:series layoutId="clusteredColumn" hidden="1" uniqueId="{00000002-D652-477F-840B-4A2D41575FC1}" formatIdx="2">
          <cx:tx>
            <cx:txData>
              <cx:f>_xlchart.v1.4</cx:f>
              <cx:v>C Residual</cx:v>
            </cx:txData>
          </cx:tx>
          <cx:dataId val="2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15</xdr:row>
      <xdr:rowOff>26670</xdr:rowOff>
    </xdr:from>
    <xdr:to>
      <xdr:col>9</xdr:col>
      <xdr:colOff>83820</xdr:colOff>
      <xdr:row>30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88127CB-303C-A0E0-68DE-585EF5DE5B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0920" y="27698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449580</xdr:colOff>
      <xdr:row>31</xdr:row>
      <xdr:rowOff>175260</xdr:rowOff>
    </xdr:from>
    <xdr:to>
      <xdr:col>9</xdr:col>
      <xdr:colOff>83820</xdr:colOff>
      <xdr:row>45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31E7CB-1336-FC65-B802-E587037B4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6</xdr:row>
      <xdr:rowOff>49530</xdr:rowOff>
    </xdr:from>
    <xdr:to>
      <xdr:col>3</xdr:col>
      <xdr:colOff>373380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498DF4-4F2D-AE08-54B4-87A5A3E46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zoomScale="65" workbookViewId="0">
      <selection activeCell="N31" sqref="N31"/>
    </sheetView>
  </sheetViews>
  <sheetFormatPr defaultRowHeight="14.4" x14ac:dyDescent="0.3"/>
  <cols>
    <col min="1" max="14" width="16" customWidth="1"/>
  </cols>
  <sheetData>
    <row r="1" spans="1:14" ht="22.3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 x14ac:dyDescent="0.3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 x14ac:dyDescent="0.3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 x14ac:dyDescent="0.3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 x14ac:dyDescent="0.3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 x14ac:dyDescent="0.3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 x14ac:dyDescent="0.3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 x14ac:dyDescent="0.3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 x14ac:dyDescent="0.3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 x14ac:dyDescent="0.3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 x14ac:dyDescent="0.3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 x14ac:dyDescent="0.3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 x14ac:dyDescent="0.3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 x14ac:dyDescent="0.3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 x14ac:dyDescent="0.3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 x14ac:dyDescent="0.3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 x14ac:dyDescent="0.3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 x14ac:dyDescent="0.3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 x14ac:dyDescent="0.3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 x14ac:dyDescent="0.3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 x14ac:dyDescent="0.3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 x14ac:dyDescent="0.3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 x14ac:dyDescent="0.3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 x14ac:dyDescent="0.3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 x14ac:dyDescent="0.3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 x14ac:dyDescent="0.3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 x14ac:dyDescent="0.3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 x14ac:dyDescent="0.3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 x14ac:dyDescent="0.3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 x14ac:dyDescent="0.3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 x14ac:dyDescent="0.3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 x14ac:dyDescent="0.3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 x14ac:dyDescent="0.3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 x14ac:dyDescent="0.3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 x14ac:dyDescent="0.3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 x14ac:dyDescent="0.3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 x14ac:dyDescent="0.3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 x14ac:dyDescent="0.3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 x14ac:dyDescent="0.3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 x14ac:dyDescent="0.3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 x14ac:dyDescent="0.3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 x14ac:dyDescent="0.3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 x14ac:dyDescent="0.3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 x14ac:dyDescent="0.3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 x14ac:dyDescent="0.3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 x14ac:dyDescent="0.3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 x14ac:dyDescent="0.3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 x14ac:dyDescent="0.3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 x14ac:dyDescent="0.3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 x14ac:dyDescent="0.3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 x14ac:dyDescent="0.3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 x14ac:dyDescent="0.3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 x14ac:dyDescent="0.3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 x14ac:dyDescent="0.3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 x14ac:dyDescent="0.3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 x14ac:dyDescent="0.3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 x14ac:dyDescent="0.3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 x14ac:dyDescent="0.3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 x14ac:dyDescent="0.3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 x14ac:dyDescent="0.3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 x14ac:dyDescent="0.3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 x14ac:dyDescent="0.3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 x14ac:dyDescent="0.3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 x14ac:dyDescent="0.3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 x14ac:dyDescent="0.3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 x14ac:dyDescent="0.3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 x14ac:dyDescent="0.3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 x14ac:dyDescent="0.3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 x14ac:dyDescent="0.3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 x14ac:dyDescent="0.3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 x14ac:dyDescent="0.3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 x14ac:dyDescent="0.3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 x14ac:dyDescent="0.3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 x14ac:dyDescent="0.3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 x14ac:dyDescent="0.3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 x14ac:dyDescent="0.3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 x14ac:dyDescent="0.3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 x14ac:dyDescent="0.3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 x14ac:dyDescent="0.3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 x14ac:dyDescent="0.3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 x14ac:dyDescent="0.3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 x14ac:dyDescent="0.3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 x14ac:dyDescent="0.3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 x14ac:dyDescent="0.3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 x14ac:dyDescent="0.3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 x14ac:dyDescent="0.3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 x14ac:dyDescent="0.3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 x14ac:dyDescent="0.3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 x14ac:dyDescent="0.3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 x14ac:dyDescent="0.3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 x14ac:dyDescent="0.3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 x14ac:dyDescent="0.3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 x14ac:dyDescent="0.3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 x14ac:dyDescent="0.3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 x14ac:dyDescent="0.3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 x14ac:dyDescent="0.3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 x14ac:dyDescent="0.3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 x14ac:dyDescent="0.3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 x14ac:dyDescent="0.3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 x14ac:dyDescent="0.3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 x14ac:dyDescent="0.3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 x14ac:dyDescent="0.3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 x14ac:dyDescent="0.3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 x14ac:dyDescent="0.3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 x14ac:dyDescent="0.3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 x14ac:dyDescent="0.3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 x14ac:dyDescent="0.3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 x14ac:dyDescent="0.3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 x14ac:dyDescent="0.3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 x14ac:dyDescent="0.3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 x14ac:dyDescent="0.3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 x14ac:dyDescent="0.3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 x14ac:dyDescent="0.3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 x14ac:dyDescent="0.3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 x14ac:dyDescent="0.3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 x14ac:dyDescent="0.3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 x14ac:dyDescent="0.3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 x14ac:dyDescent="0.3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 x14ac:dyDescent="0.3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 x14ac:dyDescent="0.3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 x14ac:dyDescent="0.3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 x14ac:dyDescent="0.3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 x14ac:dyDescent="0.3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 x14ac:dyDescent="0.3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 x14ac:dyDescent="0.3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 x14ac:dyDescent="0.3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 x14ac:dyDescent="0.3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 x14ac:dyDescent="0.3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 x14ac:dyDescent="0.3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 x14ac:dyDescent="0.3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 x14ac:dyDescent="0.3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 x14ac:dyDescent="0.3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 x14ac:dyDescent="0.3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 x14ac:dyDescent="0.3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 x14ac:dyDescent="0.3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 x14ac:dyDescent="0.3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 x14ac:dyDescent="0.3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 x14ac:dyDescent="0.3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 x14ac:dyDescent="0.3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 x14ac:dyDescent="0.3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 x14ac:dyDescent="0.3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 x14ac:dyDescent="0.3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 x14ac:dyDescent="0.3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 x14ac:dyDescent="0.3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 x14ac:dyDescent="0.3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 x14ac:dyDescent="0.3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 x14ac:dyDescent="0.3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 x14ac:dyDescent="0.3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 x14ac:dyDescent="0.3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 x14ac:dyDescent="0.3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 x14ac:dyDescent="0.3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 x14ac:dyDescent="0.3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 x14ac:dyDescent="0.3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 x14ac:dyDescent="0.3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 x14ac:dyDescent="0.3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 x14ac:dyDescent="0.3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 x14ac:dyDescent="0.3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 x14ac:dyDescent="0.3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 x14ac:dyDescent="0.3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 x14ac:dyDescent="0.3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 x14ac:dyDescent="0.3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 x14ac:dyDescent="0.3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 x14ac:dyDescent="0.3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 x14ac:dyDescent="0.3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 x14ac:dyDescent="0.3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 x14ac:dyDescent="0.3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 x14ac:dyDescent="0.3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 x14ac:dyDescent="0.3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 x14ac:dyDescent="0.3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 x14ac:dyDescent="0.3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 x14ac:dyDescent="0.3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 x14ac:dyDescent="0.3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 x14ac:dyDescent="0.3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 x14ac:dyDescent="0.3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 x14ac:dyDescent="0.3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 x14ac:dyDescent="0.3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 x14ac:dyDescent="0.3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 x14ac:dyDescent="0.3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 x14ac:dyDescent="0.3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 x14ac:dyDescent="0.3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 x14ac:dyDescent="0.3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 x14ac:dyDescent="0.3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 x14ac:dyDescent="0.3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 x14ac:dyDescent="0.3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 x14ac:dyDescent="0.3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 x14ac:dyDescent="0.3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 x14ac:dyDescent="0.3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 x14ac:dyDescent="0.3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 x14ac:dyDescent="0.3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 x14ac:dyDescent="0.3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 x14ac:dyDescent="0.3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 x14ac:dyDescent="0.3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 x14ac:dyDescent="0.3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 x14ac:dyDescent="0.3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 x14ac:dyDescent="0.3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 x14ac:dyDescent="0.3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 x14ac:dyDescent="0.3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 x14ac:dyDescent="0.3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 x14ac:dyDescent="0.3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 x14ac:dyDescent="0.3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 x14ac:dyDescent="0.3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 x14ac:dyDescent="0.3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 x14ac:dyDescent="0.3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 x14ac:dyDescent="0.3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 x14ac:dyDescent="0.3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 x14ac:dyDescent="0.3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 x14ac:dyDescent="0.3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 x14ac:dyDescent="0.3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 x14ac:dyDescent="0.3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 x14ac:dyDescent="0.3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 x14ac:dyDescent="0.3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 x14ac:dyDescent="0.3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 x14ac:dyDescent="0.3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 x14ac:dyDescent="0.3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 x14ac:dyDescent="0.3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 x14ac:dyDescent="0.3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 x14ac:dyDescent="0.3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 x14ac:dyDescent="0.3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 x14ac:dyDescent="0.3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 x14ac:dyDescent="0.3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 x14ac:dyDescent="0.3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 x14ac:dyDescent="0.3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 x14ac:dyDescent="0.3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 x14ac:dyDescent="0.3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 x14ac:dyDescent="0.3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 x14ac:dyDescent="0.3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 x14ac:dyDescent="0.3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 x14ac:dyDescent="0.3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 x14ac:dyDescent="0.3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 x14ac:dyDescent="0.3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 x14ac:dyDescent="0.3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 x14ac:dyDescent="0.3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 x14ac:dyDescent="0.3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 x14ac:dyDescent="0.3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 x14ac:dyDescent="0.3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 x14ac:dyDescent="0.3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 x14ac:dyDescent="0.3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 x14ac:dyDescent="0.3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 x14ac:dyDescent="0.3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 x14ac:dyDescent="0.3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 x14ac:dyDescent="0.3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 x14ac:dyDescent="0.3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 x14ac:dyDescent="0.3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 x14ac:dyDescent="0.3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 x14ac:dyDescent="0.3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 x14ac:dyDescent="0.3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 x14ac:dyDescent="0.3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 x14ac:dyDescent="0.3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 x14ac:dyDescent="0.3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 x14ac:dyDescent="0.3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 x14ac:dyDescent="0.3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 x14ac:dyDescent="0.3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 x14ac:dyDescent="0.3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 x14ac:dyDescent="0.3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 x14ac:dyDescent="0.3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 x14ac:dyDescent="0.3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 x14ac:dyDescent="0.3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 x14ac:dyDescent="0.3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 x14ac:dyDescent="0.3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 x14ac:dyDescent="0.3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 x14ac:dyDescent="0.3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 x14ac:dyDescent="0.3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 x14ac:dyDescent="0.3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 x14ac:dyDescent="0.3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 x14ac:dyDescent="0.3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 x14ac:dyDescent="0.3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 x14ac:dyDescent="0.3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 x14ac:dyDescent="0.3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 x14ac:dyDescent="0.3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 x14ac:dyDescent="0.3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 x14ac:dyDescent="0.3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 x14ac:dyDescent="0.3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 x14ac:dyDescent="0.3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 x14ac:dyDescent="0.3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 x14ac:dyDescent="0.3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 x14ac:dyDescent="0.3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 x14ac:dyDescent="0.3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 x14ac:dyDescent="0.3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 x14ac:dyDescent="0.3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 x14ac:dyDescent="0.3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 x14ac:dyDescent="0.3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 x14ac:dyDescent="0.3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 x14ac:dyDescent="0.3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 x14ac:dyDescent="0.3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 x14ac:dyDescent="0.3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 x14ac:dyDescent="0.3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 x14ac:dyDescent="0.3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 x14ac:dyDescent="0.3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 x14ac:dyDescent="0.3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 x14ac:dyDescent="0.3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 x14ac:dyDescent="0.3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 x14ac:dyDescent="0.3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 x14ac:dyDescent="0.3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 x14ac:dyDescent="0.3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 x14ac:dyDescent="0.3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 x14ac:dyDescent="0.3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 x14ac:dyDescent="0.3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 x14ac:dyDescent="0.3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 x14ac:dyDescent="0.3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 x14ac:dyDescent="0.3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 x14ac:dyDescent="0.3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 x14ac:dyDescent="0.3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 x14ac:dyDescent="0.3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 x14ac:dyDescent="0.3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 x14ac:dyDescent="0.3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 x14ac:dyDescent="0.3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 x14ac:dyDescent="0.3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 x14ac:dyDescent="0.3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 x14ac:dyDescent="0.3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 x14ac:dyDescent="0.3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 x14ac:dyDescent="0.3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 x14ac:dyDescent="0.3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 x14ac:dyDescent="0.3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 x14ac:dyDescent="0.3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 x14ac:dyDescent="0.3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 x14ac:dyDescent="0.3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 x14ac:dyDescent="0.3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 x14ac:dyDescent="0.3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 x14ac:dyDescent="0.3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 x14ac:dyDescent="0.3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3666-270A-42E5-AF01-5BCB9BC0DC7F}">
  <dimension ref="A1:N321"/>
  <sheetViews>
    <sheetView zoomScale="79" workbookViewId="0">
      <selection activeCell="R16" sqref="R16"/>
    </sheetView>
  </sheetViews>
  <sheetFormatPr defaultRowHeight="14.4" x14ac:dyDescent="0.3"/>
  <cols>
    <col min="1" max="1" width="8.6640625" bestFit="1" customWidth="1"/>
    <col min="2" max="2" width="7.6640625" bestFit="1" customWidth="1"/>
    <col min="3" max="3" width="6.33203125" bestFit="1" customWidth="1"/>
    <col min="4" max="4" width="10" bestFit="1" customWidth="1"/>
    <col min="5" max="5" width="15.77734375" bestFit="1" customWidth="1"/>
    <col min="6" max="6" width="7.109375" bestFit="1" customWidth="1"/>
    <col min="7" max="7" width="16" customWidth="1"/>
    <col min="8" max="8" width="10.6640625" bestFit="1" customWidth="1"/>
    <col min="9" max="9" width="23.109375" bestFit="1" customWidth="1"/>
    <col min="10" max="10" width="22.33203125" bestFit="1" customWidth="1"/>
    <col min="11" max="11" width="11.33203125" bestFit="1" customWidth="1"/>
    <col min="12" max="12" width="14.88671875" bestFit="1" customWidth="1"/>
    <col min="13" max="13" width="19.33203125" bestFit="1" customWidth="1"/>
    <col min="14" max="14" width="13.88671875" bestFit="1" customWidth="1"/>
  </cols>
  <sheetData>
    <row r="1" spans="1:14" ht="22.3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 x14ac:dyDescent="0.3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 x14ac:dyDescent="0.3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 x14ac:dyDescent="0.3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 x14ac:dyDescent="0.3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 x14ac:dyDescent="0.3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 x14ac:dyDescent="0.3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 x14ac:dyDescent="0.3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 x14ac:dyDescent="0.3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 x14ac:dyDescent="0.3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 x14ac:dyDescent="0.3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 x14ac:dyDescent="0.3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 x14ac:dyDescent="0.3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 x14ac:dyDescent="0.3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 x14ac:dyDescent="0.3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 x14ac:dyDescent="0.3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 x14ac:dyDescent="0.3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 x14ac:dyDescent="0.3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 x14ac:dyDescent="0.3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 x14ac:dyDescent="0.3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 x14ac:dyDescent="0.3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 x14ac:dyDescent="0.3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 x14ac:dyDescent="0.3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 x14ac:dyDescent="0.3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 x14ac:dyDescent="0.3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 x14ac:dyDescent="0.3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 x14ac:dyDescent="0.3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 x14ac:dyDescent="0.3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 x14ac:dyDescent="0.3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 x14ac:dyDescent="0.3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 x14ac:dyDescent="0.3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 x14ac:dyDescent="0.3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 x14ac:dyDescent="0.3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 x14ac:dyDescent="0.3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3.92</v>
      </c>
      <c r="M35">
        <v>799477.76000000001</v>
      </c>
      <c r="N35">
        <v>164974.41</v>
      </c>
    </row>
    <row r="36" spans="1:14" x14ac:dyDescent="0.3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 x14ac:dyDescent="0.3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 x14ac:dyDescent="0.3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 x14ac:dyDescent="0.3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 x14ac:dyDescent="0.3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 x14ac:dyDescent="0.3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 x14ac:dyDescent="0.3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 x14ac:dyDescent="0.3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 x14ac:dyDescent="0.3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 x14ac:dyDescent="0.3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 x14ac:dyDescent="0.3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 x14ac:dyDescent="0.3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 x14ac:dyDescent="0.3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 x14ac:dyDescent="0.3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 x14ac:dyDescent="0.3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 x14ac:dyDescent="0.3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 x14ac:dyDescent="0.3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 x14ac:dyDescent="0.3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 x14ac:dyDescent="0.3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 x14ac:dyDescent="0.3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 x14ac:dyDescent="0.3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 x14ac:dyDescent="0.3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 x14ac:dyDescent="0.3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 x14ac:dyDescent="0.3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 x14ac:dyDescent="0.3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 x14ac:dyDescent="0.3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 x14ac:dyDescent="0.3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 x14ac:dyDescent="0.3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 x14ac:dyDescent="0.3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 x14ac:dyDescent="0.3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 x14ac:dyDescent="0.3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 x14ac:dyDescent="0.3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 x14ac:dyDescent="0.3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 x14ac:dyDescent="0.3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 x14ac:dyDescent="0.3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 x14ac:dyDescent="0.3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 x14ac:dyDescent="0.3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 x14ac:dyDescent="0.3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4.55</v>
      </c>
      <c r="K73">
        <v>0</v>
      </c>
      <c r="L73">
        <v>3.5</v>
      </c>
      <c r="M73">
        <v>674774.09</v>
      </c>
      <c r="N73">
        <v>141917.59</v>
      </c>
    </row>
    <row r="74" spans="1:14" x14ac:dyDescent="0.3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 x14ac:dyDescent="0.3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 x14ac:dyDescent="0.3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 x14ac:dyDescent="0.3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 x14ac:dyDescent="0.3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 x14ac:dyDescent="0.3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 x14ac:dyDescent="0.3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 x14ac:dyDescent="0.3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 x14ac:dyDescent="0.3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 x14ac:dyDescent="0.3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 x14ac:dyDescent="0.3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 x14ac:dyDescent="0.3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 x14ac:dyDescent="0.3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 x14ac:dyDescent="0.3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3.92</v>
      </c>
      <c r="M87">
        <v>611766.72</v>
      </c>
      <c r="N87">
        <v>88275.61</v>
      </c>
    </row>
    <row r="88" spans="1:14" x14ac:dyDescent="0.3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 x14ac:dyDescent="0.3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 x14ac:dyDescent="0.3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 x14ac:dyDescent="0.3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 x14ac:dyDescent="0.3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 x14ac:dyDescent="0.3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 x14ac:dyDescent="0.3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 x14ac:dyDescent="0.3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 x14ac:dyDescent="0.3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 x14ac:dyDescent="0.3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 x14ac:dyDescent="0.3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 x14ac:dyDescent="0.3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 x14ac:dyDescent="0.3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4.55</v>
      </c>
      <c r="K100">
        <v>0</v>
      </c>
      <c r="L100">
        <v>4.3</v>
      </c>
      <c r="M100">
        <v>605775.32999999996</v>
      </c>
      <c r="N100">
        <v>107194.6</v>
      </c>
    </row>
    <row r="101" spans="1:14" x14ac:dyDescent="0.3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 x14ac:dyDescent="0.3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 x14ac:dyDescent="0.3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 x14ac:dyDescent="0.3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 x14ac:dyDescent="0.3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 x14ac:dyDescent="0.3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 x14ac:dyDescent="0.3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 x14ac:dyDescent="0.3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 x14ac:dyDescent="0.3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 x14ac:dyDescent="0.3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 x14ac:dyDescent="0.3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 x14ac:dyDescent="0.3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 x14ac:dyDescent="0.3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 x14ac:dyDescent="0.3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 x14ac:dyDescent="0.3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 x14ac:dyDescent="0.3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 x14ac:dyDescent="0.3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 x14ac:dyDescent="0.3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 x14ac:dyDescent="0.3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 x14ac:dyDescent="0.3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 x14ac:dyDescent="0.3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 x14ac:dyDescent="0.3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 x14ac:dyDescent="0.3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 x14ac:dyDescent="0.3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 x14ac:dyDescent="0.3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 x14ac:dyDescent="0.3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 x14ac:dyDescent="0.3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 x14ac:dyDescent="0.3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 x14ac:dyDescent="0.3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 x14ac:dyDescent="0.3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 x14ac:dyDescent="0.3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 x14ac:dyDescent="0.3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 x14ac:dyDescent="0.3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 x14ac:dyDescent="0.3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 x14ac:dyDescent="0.3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3.92</v>
      </c>
      <c r="M135">
        <v>400831.65</v>
      </c>
      <c r="N135">
        <v>70979.31</v>
      </c>
    </row>
    <row r="136" spans="1:14" x14ac:dyDescent="0.3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 x14ac:dyDescent="0.3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 x14ac:dyDescent="0.3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3.92</v>
      </c>
      <c r="M138">
        <v>633638.03</v>
      </c>
      <c r="N138">
        <v>99402.01</v>
      </c>
    </row>
    <row r="139" spans="1:14" x14ac:dyDescent="0.3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 x14ac:dyDescent="0.3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 x14ac:dyDescent="0.3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 x14ac:dyDescent="0.3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 x14ac:dyDescent="0.3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 x14ac:dyDescent="0.3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 x14ac:dyDescent="0.3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 x14ac:dyDescent="0.3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 x14ac:dyDescent="0.3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 x14ac:dyDescent="0.3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 x14ac:dyDescent="0.3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 x14ac:dyDescent="0.3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 x14ac:dyDescent="0.3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 x14ac:dyDescent="0.3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 x14ac:dyDescent="0.3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 x14ac:dyDescent="0.3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 x14ac:dyDescent="0.3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 x14ac:dyDescent="0.3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 x14ac:dyDescent="0.3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 x14ac:dyDescent="0.3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 x14ac:dyDescent="0.3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 x14ac:dyDescent="0.3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 x14ac:dyDescent="0.3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 x14ac:dyDescent="0.3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 x14ac:dyDescent="0.3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 x14ac:dyDescent="0.3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4.55</v>
      </c>
      <c r="K164">
        <v>0</v>
      </c>
      <c r="L164">
        <v>4.2</v>
      </c>
      <c r="M164">
        <v>677096.71</v>
      </c>
      <c r="N164">
        <v>97174.11</v>
      </c>
    </row>
    <row r="165" spans="1:14" x14ac:dyDescent="0.3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 x14ac:dyDescent="0.3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 x14ac:dyDescent="0.3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 x14ac:dyDescent="0.3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 x14ac:dyDescent="0.3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 x14ac:dyDescent="0.3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 x14ac:dyDescent="0.3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 x14ac:dyDescent="0.3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 x14ac:dyDescent="0.3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 x14ac:dyDescent="0.3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 x14ac:dyDescent="0.3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 x14ac:dyDescent="0.3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 x14ac:dyDescent="0.3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 x14ac:dyDescent="0.3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 x14ac:dyDescent="0.3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 x14ac:dyDescent="0.3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 x14ac:dyDescent="0.3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 x14ac:dyDescent="0.3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 x14ac:dyDescent="0.3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 x14ac:dyDescent="0.3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 x14ac:dyDescent="0.3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 x14ac:dyDescent="0.3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 x14ac:dyDescent="0.3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 x14ac:dyDescent="0.3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 x14ac:dyDescent="0.3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 x14ac:dyDescent="0.3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 x14ac:dyDescent="0.3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 x14ac:dyDescent="0.3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 x14ac:dyDescent="0.3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 x14ac:dyDescent="0.3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 x14ac:dyDescent="0.3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 x14ac:dyDescent="0.3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 x14ac:dyDescent="0.3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3.92</v>
      </c>
      <c r="M197">
        <v>449465.06</v>
      </c>
      <c r="N197">
        <v>65694.78</v>
      </c>
    </row>
    <row r="198" spans="1:14" x14ac:dyDescent="0.3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 x14ac:dyDescent="0.3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 x14ac:dyDescent="0.3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 x14ac:dyDescent="0.3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 x14ac:dyDescent="0.3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 x14ac:dyDescent="0.3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 x14ac:dyDescent="0.3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 x14ac:dyDescent="0.3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 x14ac:dyDescent="0.3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 x14ac:dyDescent="0.3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 x14ac:dyDescent="0.3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 x14ac:dyDescent="0.3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 x14ac:dyDescent="0.3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 x14ac:dyDescent="0.3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 x14ac:dyDescent="0.3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 x14ac:dyDescent="0.3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 x14ac:dyDescent="0.3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 x14ac:dyDescent="0.3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 x14ac:dyDescent="0.3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 x14ac:dyDescent="0.3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 x14ac:dyDescent="0.3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 x14ac:dyDescent="0.3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 x14ac:dyDescent="0.3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 x14ac:dyDescent="0.3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 x14ac:dyDescent="0.3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 x14ac:dyDescent="0.3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 x14ac:dyDescent="0.3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 x14ac:dyDescent="0.3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 x14ac:dyDescent="0.3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 x14ac:dyDescent="0.3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 x14ac:dyDescent="0.3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 x14ac:dyDescent="0.3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3.92</v>
      </c>
      <c r="M229">
        <v>529598.93999999994</v>
      </c>
      <c r="N229">
        <v>84334.33</v>
      </c>
    </row>
    <row r="230" spans="1:14" x14ac:dyDescent="0.3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 x14ac:dyDescent="0.3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 x14ac:dyDescent="0.3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 x14ac:dyDescent="0.3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4.55</v>
      </c>
      <c r="K233">
        <v>0</v>
      </c>
      <c r="L233">
        <v>3.7</v>
      </c>
      <c r="M233">
        <v>647512.85</v>
      </c>
      <c r="N233">
        <v>153835.57</v>
      </c>
    </row>
    <row r="234" spans="1:14" x14ac:dyDescent="0.3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 x14ac:dyDescent="0.3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 x14ac:dyDescent="0.3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 x14ac:dyDescent="0.3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 x14ac:dyDescent="0.3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 x14ac:dyDescent="0.3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 x14ac:dyDescent="0.3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 x14ac:dyDescent="0.3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 x14ac:dyDescent="0.3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 x14ac:dyDescent="0.3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 x14ac:dyDescent="0.3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 x14ac:dyDescent="0.3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 x14ac:dyDescent="0.3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 x14ac:dyDescent="0.3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 x14ac:dyDescent="0.3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 x14ac:dyDescent="0.3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 x14ac:dyDescent="0.3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4.55</v>
      </c>
      <c r="K250">
        <v>0</v>
      </c>
      <c r="L250">
        <v>3.8</v>
      </c>
      <c r="M250">
        <v>606783.67000000004</v>
      </c>
      <c r="N250">
        <v>74515.87</v>
      </c>
    </row>
    <row r="251" spans="1:14" x14ac:dyDescent="0.3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 x14ac:dyDescent="0.3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 x14ac:dyDescent="0.3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 x14ac:dyDescent="0.3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 x14ac:dyDescent="0.3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 x14ac:dyDescent="0.3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 x14ac:dyDescent="0.3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 x14ac:dyDescent="0.3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 x14ac:dyDescent="0.3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 x14ac:dyDescent="0.3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 x14ac:dyDescent="0.3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 x14ac:dyDescent="0.3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 x14ac:dyDescent="0.3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4.55</v>
      </c>
      <c r="K263">
        <v>0</v>
      </c>
      <c r="L263">
        <v>4.2</v>
      </c>
      <c r="M263">
        <v>605751.32999999996</v>
      </c>
      <c r="N263">
        <v>60685.53</v>
      </c>
    </row>
    <row r="264" spans="1:14" x14ac:dyDescent="0.3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 x14ac:dyDescent="0.3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 x14ac:dyDescent="0.3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 x14ac:dyDescent="0.3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 x14ac:dyDescent="0.3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 x14ac:dyDescent="0.3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 x14ac:dyDescent="0.3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 x14ac:dyDescent="0.3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 x14ac:dyDescent="0.3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 x14ac:dyDescent="0.3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 x14ac:dyDescent="0.3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 x14ac:dyDescent="0.3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 x14ac:dyDescent="0.3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 x14ac:dyDescent="0.3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 x14ac:dyDescent="0.3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 x14ac:dyDescent="0.3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 x14ac:dyDescent="0.3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 x14ac:dyDescent="0.3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 x14ac:dyDescent="0.3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 x14ac:dyDescent="0.3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 x14ac:dyDescent="0.3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 x14ac:dyDescent="0.3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 x14ac:dyDescent="0.3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 x14ac:dyDescent="0.3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 x14ac:dyDescent="0.3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 x14ac:dyDescent="0.3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 x14ac:dyDescent="0.3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 x14ac:dyDescent="0.3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 x14ac:dyDescent="0.3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 x14ac:dyDescent="0.3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 x14ac:dyDescent="0.3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 x14ac:dyDescent="0.3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 x14ac:dyDescent="0.3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 x14ac:dyDescent="0.3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 x14ac:dyDescent="0.3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 x14ac:dyDescent="0.3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 x14ac:dyDescent="0.3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 x14ac:dyDescent="0.3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 x14ac:dyDescent="0.3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 x14ac:dyDescent="0.3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 x14ac:dyDescent="0.3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 x14ac:dyDescent="0.3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 x14ac:dyDescent="0.3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 x14ac:dyDescent="0.3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 x14ac:dyDescent="0.3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 x14ac:dyDescent="0.3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 x14ac:dyDescent="0.3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 x14ac:dyDescent="0.3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 x14ac:dyDescent="0.3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 x14ac:dyDescent="0.3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3.92</v>
      </c>
      <c r="M313">
        <v>771129.07</v>
      </c>
      <c r="N313">
        <v>116851.13</v>
      </c>
    </row>
    <row r="314" spans="1:14" x14ac:dyDescent="0.3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 x14ac:dyDescent="0.3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3.92</v>
      </c>
      <c r="M315">
        <v>688368.46</v>
      </c>
      <c r="N315">
        <v>93588.42</v>
      </c>
    </row>
    <row r="316" spans="1:14" x14ac:dyDescent="0.3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 x14ac:dyDescent="0.3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 x14ac:dyDescent="0.3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 x14ac:dyDescent="0.3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 x14ac:dyDescent="0.3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 x14ac:dyDescent="0.3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autoFilter ref="A1:N323" xr:uid="{09BB3666-270A-42E5-AF01-5BCB9BC0DC7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5150-3B75-4D0B-9CFE-BEF21EBC961A}">
  <dimension ref="A1:T321"/>
  <sheetViews>
    <sheetView tabSelected="1" topLeftCell="P1" workbookViewId="0">
      <selection activeCell="V7" sqref="V7"/>
    </sheetView>
  </sheetViews>
  <sheetFormatPr defaultRowHeight="14.4" x14ac:dyDescent="0.3"/>
  <cols>
    <col min="1" max="1" width="8.6640625" bestFit="1" customWidth="1"/>
    <col min="2" max="2" width="7.6640625" bestFit="1" customWidth="1"/>
    <col min="3" max="3" width="6.33203125" bestFit="1" customWidth="1"/>
    <col min="4" max="4" width="10" bestFit="1" customWidth="1"/>
    <col min="5" max="5" width="15.77734375" bestFit="1" customWidth="1"/>
    <col min="6" max="6" width="7.109375" bestFit="1" customWidth="1"/>
    <col min="7" max="7" width="16" customWidth="1"/>
    <col min="8" max="8" width="10.6640625" bestFit="1" customWidth="1"/>
    <col min="9" max="9" width="23.109375" bestFit="1" customWidth="1"/>
    <col min="10" max="10" width="22.33203125" bestFit="1" customWidth="1"/>
    <col min="11" max="11" width="11.33203125" bestFit="1" customWidth="1"/>
    <col min="12" max="12" width="14.88671875" bestFit="1" customWidth="1"/>
    <col min="13" max="13" width="13.21875" bestFit="1" customWidth="1"/>
    <col min="14" max="17" width="13.88671875" bestFit="1" customWidth="1"/>
    <col min="18" max="18" width="15.6640625" bestFit="1" customWidth="1"/>
    <col min="19" max="19" width="15.33203125" bestFit="1" customWidth="1"/>
    <col min="20" max="20" width="13.88671875" bestFit="1" customWidth="1"/>
    <col min="23" max="23" width="15.77734375" bestFit="1" customWidth="1"/>
    <col min="24" max="24" width="7.109375" bestFit="1" customWidth="1"/>
    <col min="25" max="25" width="23.109375" bestFit="1" customWidth="1"/>
    <col min="26" max="26" width="14.88671875" bestFit="1" customWidth="1"/>
    <col min="27" max="27" width="13.88671875" bestFit="1" customWidth="1"/>
  </cols>
  <sheetData>
    <row r="1" spans="1:20" ht="22.3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</row>
    <row r="2" spans="1:20" x14ac:dyDescent="0.3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O2">
        <f>IF(C2="East",1,0)</f>
        <v>1</v>
      </c>
      <c r="P2">
        <f>IF(C2="North",1,0)</f>
        <v>0</v>
      </c>
      <c r="Q2">
        <f>IF(C2="South",1,0)</f>
        <v>0</v>
      </c>
      <c r="R2">
        <f>IF(D2="Residential",1,0)</f>
        <v>1</v>
      </c>
      <c r="S2">
        <f>IF(D2="High Street",1,0)</f>
        <v>0</v>
      </c>
      <c r="T2">
        <f>IF(D2="Mall",1,0)</f>
        <v>0</v>
      </c>
    </row>
    <row r="3" spans="1:20" x14ac:dyDescent="0.3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O3">
        <f t="shared" ref="O3:O66" si="0">IF(C3="East",1,0)</f>
        <v>1</v>
      </c>
      <c r="P3">
        <f t="shared" ref="P3:P66" si="1">IF(C3="North",1,0)</f>
        <v>0</v>
      </c>
      <c r="Q3">
        <f t="shared" ref="Q3:Q66" si="2">IF(C3="South",1,0)</f>
        <v>0</v>
      </c>
      <c r="R3">
        <f t="shared" ref="R3:R66" si="3">IF(D3="Residential",1,0)</f>
        <v>1</v>
      </c>
      <c r="S3">
        <f t="shared" ref="S3:S66" si="4">IF(D3="High Street",1,0)</f>
        <v>0</v>
      </c>
      <c r="T3">
        <f t="shared" ref="T3:T66" si="5">IF(D3="Mall",1,0)</f>
        <v>0</v>
      </c>
    </row>
    <row r="4" spans="1:20" x14ac:dyDescent="0.3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O4">
        <f t="shared" si="0"/>
        <v>1</v>
      </c>
      <c r="P4">
        <f t="shared" si="1"/>
        <v>0</v>
      </c>
      <c r="Q4">
        <f t="shared" si="2"/>
        <v>0</v>
      </c>
      <c r="R4">
        <f t="shared" si="3"/>
        <v>1</v>
      </c>
      <c r="S4">
        <f t="shared" si="4"/>
        <v>0</v>
      </c>
      <c r="T4">
        <f t="shared" si="5"/>
        <v>0</v>
      </c>
    </row>
    <row r="5" spans="1:20" x14ac:dyDescent="0.3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O5">
        <f t="shared" si="0"/>
        <v>1</v>
      </c>
      <c r="P5">
        <f t="shared" si="1"/>
        <v>0</v>
      </c>
      <c r="Q5">
        <f t="shared" si="2"/>
        <v>0</v>
      </c>
      <c r="R5">
        <f t="shared" si="3"/>
        <v>1</v>
      </c>
      <c r="S5">
        <f t="shared" si="4"/>
        <v>0</v>
      </c>
      <c r="T5">
        <f t="shared" si="5"/>
        <v>0</v>
      </c>
    </row>
    <row r="6" spans="1:20" x14ac:dyDescent="0.3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O6">
        <f t="shared" si="0"/>
        <v>1</v>
      </c>
      <c r="P6">
        <f t="shared" si="1"/>
        <v>0</v>
      </c>
      <c r="Q6">
        <f t="shared" si="2"/>
        <v>0</v>
      </c>
      <c r="R6">
        <f t="shared" si="3"/>
        <v>0</v>
      </c>
      <c r="S6">
        <f t="shared" si="4"/>
        <v>1</v>
      </c>
      <c r="T6">
        <f t="shared" si="5"/>
        <v>0</v>
      </c>
    </row>
    <row r="7" spans="1:20" x14ac:dyDescent="0.3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O7">
        <f t="shared" si="0"/>
        <v>1</v>
      </c>
      <c r="P7">
        <f t="shared" si="1"/>
        <v>0</v>
      </c>
      <c r="Q7">
        <f t="shared" si="2"/>
        <v>0</v>
      </c>
      <c r="R7">
        <f t="shared" si="3"/>
        <v>0</v>
      </c>
      <c r="S7">
        <f t="shared" si="4"/>
        <v>1</v>
      </c>
      <c r="T7">
        <f t="shared" si="5"/>
        <v>0</v>
      </c>
    </row>
    <row r="8" spans="1:20" x14ac:dyDescent="0.3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O8">
        <f t="shared" si="0"/>
        <v>1</v>
      </c>
      <c r="P8">
        <f t="shared" si="1"/>
        <v>0</v>
      </c>
      <c r="Q8">
        <f t="shared" si="2"/>
        <v>0</v>
      </c>
      <c r="R8">
        <f t="shared" si="3"/>
        <v>0</v>
      </c>
      <c r="S8">
        <f t="shared" si="4"/>
        <v>1</v>
      </c>
      <c r="T8">
        <f t="shared" si="5"/>
        <v>0</v>
      </c>
    </row>
    <row r="9" spans="1:20" x14ac:dyDescent="0.3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O9">
        <f t="shared" si="0"/>
        <v>1</v>
      </c>
      <c r="P9">
        <f t="shared" si="1"/>
        <v>0</v>
      </c>
      <c r="Q9">
        <f t="shared" si="2"/>
        <v>0</v>
      </c>
      <c r="R9">
        <f t="shared" si="3"/>
        <v>0</v>
      </c>
      <c r="S9">
        <f t="shared" si="4"/>
        <v>1</v>
      </c>
      <c r="T9">
        <f t="shared" si="5"/>
        <v>0</v>
      </c>
    </row>
    <row r="10" spans="1:20" x14ac:dyDescent="0.3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O10">
        <f t="shared" si="0"/>
        <v>0</v>
      </c>
      <c r="P10">
        <f t="shared" si="1"/>
        <v>1</v>
      </c>
      <c r="Q10">
        <f t="shared" si="2"/>
        <v>0</v>
      </c>
      <c r="R10">
        <f t="shared" si="3"/>
        <v>0</v>
      </c>
      <c r="S10">
        <f t="shared" si="4"/>
        <v>0</v>
      </c>
      <c r="T10">
        <f t="shared" si="5"/>
        <v>0</v>
      </c>
    </row>
    <row r="11" spans="1:20" x14ac:dyDescent="0.3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O11">
        <f t="shared" si="0"/>
        <v>0</v>
      </c>
      <c r="P11">
        <f t="shared" si="1"/>
        <v>1</v>
      </c>
      <c r="Q11">
        <f t="shared" si="2"/>
        <v>0</v>
      </c>
      <c r="R11">
        <f t="shared" si="3"/>
        <v>0</v>
      </c>
      <c r="S11">
        <f t="shared" si="4"/>
        <v>0</v>
      </c>
      <c r="T11">
        <f t="shared" si="5"/>
        <v>0</v>
      </c>
    </row>
    <row r="12" spans="1:20" x14ac:dyDescent="0.3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O12">
        <f t="shared" si="0"/>
        <v>0</v>
      </c>
      <c r="P12">
        <f t="shared" si="1"/>
        <v>1</v>
      </c>
      <c r="Q12">
        <f t="shared" si="2"/>
        <v>0</v>
      </c>
      <c r="R12">
        <f t="shared" si="3"/>
        <v>0</v>
      </c>
      <c r="S12">
        <f t="shared" si="4"/>
        <v>0</v>
      </c>
      <c r="T12">
        <f t="shared" si="5"/>
        <v>0</v>
      </c>
    </row>
    <row r="13" spans="1:20" x14ac:dyDescent="0.3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O13">
        <f t="shared" si="0"/>
        <v>0</v>
      </c>
      <c r="P13">
        <f t="shared" si="1"/>
        <v>1</v>
      </c>
      <c r="Q13">
        <f t="shared" si="2"/>
        <v>0</v>
      </c>
      <c r="R13">
        <f t="shared" si="3"/>
        <v>0</v>
      </c>
      <c r="S13">
        <f t="shared" si="4"/>
        <v>0</v>
      </c>
      <c r="T13">
        <f t="shared" si="5"/>
        <v>0</v>
      </c>
    </row>
    <row r="14" spans="1:20" x14ac:dyDescent="0.3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O14">
        <f t="shared" si="0"/>
        <v>1</v>
      </c>
      <c r="P14">
        <f t="shared" si="1"/>
        <v>0</v>
      </c>
      <c r="Q14">
        <f t="shared" si="2"/>
        <v>0</v>
      </c>
      <c r="R14">
        <f t="shared" si="3"/>
        <v>1</v>
      </c>
      <c r="S14">
        <f t="shared" si="4"/>
        <v>0</v>
      </c>
      <c r="T14">
        <f t="shared" si="5"/>
        <v>0</v>
      </c>
    </row>
    <row r="15" spans="1:20" x14ac:dyDescent="0.3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O15">
        <f t="shared" si="0"/>
        <v>1</v>
      </c>
      <c r="P15">
        <f t="shared" si="1"/>
        <v>0</v>
      </c>
      <c r="Q15">
        <f t="shared" si="2"/>
        <v>0</v>
      </c>
      <c r="R15">
        <f t="shared" si="3"/>
        <v>1</v>
      </c>
      <c r="S15">
        <f t="shared" si="4"/>
        <v>0</v>
      </c>
      <c r="T15">
        <f t="shared" si="5"/>
        <v>0</v>
      </c>
    </row>
    <row r="16" spans="1:20" x14ac:dyDescent="0.3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O16">
        <f t="shared" si="0"/>
        <v>1</v>
      </c>
      <c r="P16">
        <f t="shared" si="1"/>
        <v>0</v>
      </c>
      <c r="Q16">
        <f t="shared" si="2"/>
        <v>0</v>
      </c>
      <c r="R16">
        <f t="shared" si="3"/>
        <v>1</v>
      </c>
      <c r="S16">
        <f t="shared" si="4"/>
        <v>0</v>
      </c>
      <c r="T16">
        <f t="shared" si="5"/>
        <v>0</v>
      </c>
    </row>
    <row r="17" spans="1:20" x14ac:dyDescent="0.3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O17">
        <f t="shared" si="0"/>
        <v>1</v>
      </c>
      <c r="P17">
        <f t="shared" si="1"/>
        <v>0</v>
      </c>
      <c r="Q17">
        <f t="shared" si="2"/>
        <v>0</v>
      </c>
      <c r="R17">
        <f t="shared" si="3"/>
        <v>1</v>
      </c>
      <c r="S17">
        <f t="shared" si="4"/>
        <v>0</v>
      </c>
      <c r="T17">
        <f t="shared" si="5"/>
        <v>0</v>
      </c>
    </row>
    <row r="18" spans="1:20" x14ac:dyDescent="0.3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O18">
        <f t="shared" si="0"/>
        <v>0</v>
      </c>
      <c r="P18">
        <f t="shared" si="1"/>
        <v>0</v>
      </c>
      <c r="Q18">
        <f t="shared" si="2"/>
        <v>1</v>
      </c>
      <c r="R18">
        <f t="shared" si="3"/>
        <v>1</v>
      </c>
      <c r="S18">
        <f t="shared" si="4"/>
        <v>0</v>
      </c>
      <c r="T18">
        <f t="shared" si="5"/>
        <v>0</v>
      </c>
    </row>
    <row r="19" spans="1:20" x14ac:dyDescent="0.3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O19">
        <f t="shared" si="0"/>
        <v>0</v>
      </c>
      <c r="P19">
        <f t="shared" si="1"/>
        <v>0</v>
      </c>
      <c r="Q19">
        <f t="shared" si="2"/>
        <v>1</v>
      </c>
      <c r="R19">
        <f t="shared" si="3"/>
        <v>1</v>
      </c>
      <c r="S19">
        <f t="shared" si="4"/>
        <v>0</v>
      </c>
      <c r="T19">
        <f t="shared" si="5"/>
        <v>0</v>
      </c>
    </row>
    <row r="20" spans="1:20" x14ac:dyDescent="0.3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O20">
        <f t="shared" si="0"/>
        <v>0</v>
      </c>
      <c r="P20">
        <f t="shared" si="1"/>
        <v>0</v>
      </c>
      <c r="Q20">
        <f t="shared" si="2"/>
        <v>1</v>
      </c>
      <c r="R20">
        <f t="shared" si="3"/>
        <v>1</v>
      </c>
      <c r="S20">
        <f t="shared" si="4"/>
        <v>0</v>
      </c>
      <c r="T20">
        <f t="shared" si="5"/>
        <v>0</v>
      </c>
    </row>
    <row r="21" spans="1:20" x14ac:dyDescent="0.3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O21">
        <f t="shared" si="0"/>
        <v>0</v>
      </c>
      <c r="P21">
        <f t="shared" si="1"/>
        <v>0</v>
      </c>
      <c r="Q21">
        <f t="shared" si="2"/>
        <v>1</v>
      </c>
      <c r="R21">
        <f t="shared" si="3"/>
        <v>1</v>
      </c>
      <c r="S21">
        <f t="shared" si="4"/>
        <v>0</v>
      </c>
      <c r="T21">
        <f t="shared" si="5"/>
        <v>0</v>
      </c>
    </row>
    <row r="22" spans="1:20" x14ac:dyDescent="0.3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O22">
        <f t="shared" si="0"/>
        <v>0</v>
      </c>
      <c r="P22">
        <f t="shared" si="1"/>
        <v>1</v>
      </c>
      <c r="Q22">
        <f t="shared" si="2"/>
        <v>0</v>
      </c>
      <c r="R22">
        <f t="shared" si="3"/>
        <v>1</v>
      </c>
      <c r="S22">
        <f t="shared" si="4"/>
        <v>0</v>
      </c>
      <c r="T22">
        <f t="shared" si="5"/>
        <v>0</v>
      </c>
    </row>
    <row r="23" spans="1:20" x14ac:dyDescent="0.3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O23">
        <f t="shared" si="0"/>
        <v>0</v>
      </c>
      <c r="P23">
        <f t="shared" si="1"/>
        <v>1</v>
      </c>
      <c r="Q23">
        <f t="shared" si="2"/>
        <v>0</v>
      </c>
      <c r="R23">
        <f t="shared" si="3"/>
        <v>1</v>
      </c>
      <c r="S23">
        <f t="shared" si="4"/>
        <v>0</v>
      </c>
      <c r="T23">
        <f t="shared" si="5"/>
        <v>0</v>
      </c>
    </row>
    <row r="24" spans="1:20" x14ac:dyDescent="0.3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O24">
        <f t="shared" si="0"/>
        <v>0</v>
      </c>
      <c r="P24">
        <f t="shared" si="1"/>
        <v>1</v>
      </c>
      <c r="Q24">
        <f t="shared" si="2"/>
        <v>0</v>
      </c>
      <c r="R24">
        <f t="shared" si="3"/>
        <v>1</v>
      </c>
      <c r="S24">
        <f t="shared" si="4"/>
        <v>0</v>
      </c>
      <c r="T24">
        <f t="shared" si="5"/>
        <v>0</v>
      </c>
    </row>
    <row r="25" spans="1:20" x14ac:dyDescent="0.3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O25">
        <f t="shared" si="0"/>
        <v>0</v>
      </c>
      <c r="P25">
        <f t="shared" si="1"/>
        <v>1</v>
      </c>
      <c r="Q25">
        <f t="shared" si="2"/>
        <v>0</v>
      </c>
      <c r="R25">
        <f t="shared" si="3"/>
        <v>1</v>
      </c>
      <c r="S25">
        <f t="shared" si="4"/>
        <v>0</v>
      </c>
      <c r="T25">
        <f t="shared" si="5"/>
        <v>0</v>
      </c>
    </row>
    <row r="26" spans="1:20" x14ac:dyDescent="0.3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O26">
        <f t="shared" si="0"/>
        <v>0</v>
      </c>
      <c r="P26">
        <f t="shared" si="1"/>
        <v>0</v>
      </c>
      <c r="Q26">
        <f t="shared" si="2"/>
        <v>0</v>
      </c>
      <c r="R26">
        <f t="shared" si="3"/>
        <v>0</v>
      </c>
      <c r="S26">
        <f t="shared" si="4"/>
        <v>0</v>
      </c>
      <c r="T26">
        <f t="shared" si="5"/>
        <v>1</v>
      </c>
    </row>
    <row r="27" spans="1:20" x14ac:dyDescent="0.3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O27">
        <f t="shared" si="0"/>
        <v>0</v>
      </c>
      <c r="P27">
        <f t="shared" si="1"/>
        <v>0</v>
      </c>
      <c r="Q27">
        <f t="shared" si="2"/>
        <v>0</v>
      </c>
      <c r="R27">
        <f t="shared" si="3"/>
        <v>0</v>
      </c>
      <c r="S27">
        <f t="shared" si="4"/>
        <v>0</v>
      </c>
      <c r="T27">
        <f t="shared" si="5"/>
        <v>1</v>
      </c>
    </row>
    <row r="28" spans="1:20" x14ac:dyDescent="0.3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O28">
        <f t="shared" si="0"/>
        <v>0</v>
      </c>
      <c r="P28">
        <f t="shared" si="1"/>
        <v>0</v>
      </c>
      <c r="Q28">
        <f t="shared" si="2"/>
        <v>0</v>
      </c>
      <c r="R28">
        <f t="shared" si="3"/>
        <v>0</v>
      </c>
      <c r="S28">
        <f t="shared" si="4"/>
        <v>0</v>
      </c>
      <c r="T28">
        <f t="shared" si="5"/>
        <v>1</v>
      </c>
    </row>
    <row r="29" spans="1:20" x14ac:dyDescent="0.3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O29">
        <f t="shared" si="0"/>
        <v>0</v>
      </c>
      <c r="P29">
        <f t="shared" si="1"/>
        <v>0</v>
      </c>
      <c r="Q29">
        <f t="shared" si="2"/>
        <v>0</v>
      </c>
      <c r="R29">
        <f t="shared" si="3"/>
        <v>0</v>
      </c>
      <c r="S29">
        <f t="shared" si="4"/>
        <v>0</v>
      </c>
      <c r="T29">
        <f t="shared" si="5"/>
        <v>1</v>
      </c>
    </row>
    <row r="30" spans="1:20" x14ac:dyDescent="0.3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O30">
        <f t="shared" si="0"/>
        <v>1</v>
      </c>
      <c r="P30">
        <f t="shared" si="1"/>
        <v>0</v>
      </c>
      <c r="Q30">
        <f t="shared" si="2"/>
        <v>0</v>
      </c>
      <c r="R30">
        <f t="shared" si="3"/>
        <v>1</v>
      </c>
      <c r="S30">
        <f t="shared" si="4"/>
        <v>0</v>
      </c>
      <c r="T30">
        <f t="shared" si="5"/>
        <v>0</v>
      </c>
    </row>
    <row r="31" spans="1:20" x14ac:dyDescent="0.3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O31">
        <f t="shared" si="0"/>
        <v>1</v>
      </c>
      <c r="P31">
        <f t="shared" si="1"/>
        <v>0</v>
      </c>
      <c r="Q31">
        <f t="shared" si="2"/>
        <v>0</v>
      </c>
      <c r="R31">
        <f t="shared" si="3"/>
        <v>1</v>
      </c>
      <c r="S31">
        <f t="shared" si="4"/>
        <v>0</v>
      </c>
      <c r="T31">
        <f t="shared" si="5"/>
        <v>0</v>
      </c>
    </row>
    <row r="32" spans="1:20" x14ac:dyDescent="0.3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O32">
        <f t="shared" si="0"/>
        <v>1</v>
      </c>
      <c r="P32">
        <f t="shared" si="1"/>
        <v>0</v>
      </c>
      <c r="Q32">
        <f t="shared" si="2"/>
        <v>0</v>
      </c>
      <c r="R32">
        <f t="shared" si="3"/>
        <v>1</v>
      </c>
      <c r="S32">
        <f t="shared" si="4"/>
        <v>0</v>
      </c>
      <c r="T32">
        <f t="shared" si="5"/>
        <v>0</v>
      </c>
    </row>
    <row r="33" spans="1:20" x14ac:dyDescent="0.3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O33">
        <f t="shared" si="0"/>
        <v>1</v>
      </c>
      <c r="P33">
        <f t="shared" si="1"/>
        <v>0</v>
      </c>
      <c r="Q33">
        <f t="shared" si="2"/>
        <v>0</v>
      </c>
      <c r="R33">
        <f t="shared" si="3"/>
        <v>1</v>
      </c>
      <c r="S33">
        <f t="shared" si="4"/>
        <v>0</v>
      </c>
      <c r="T33">
        <f t="shared" si="5"/>
        <v>0</v>
      </c>
    </row>
    <row r="34" spans="1:20" x14ac:dyDescent="0.3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O34">
        <f t="shared" si="0"/>
        <v>0</v>
      </c>
      <c r="P34">
        <f t="shared" si="1"/>
        <v>1</v>
      </c>
      <c r="Q34">
        <f t="shared" si="2"/>
        <v>0</v>
      </c>
      <c r="R34">
        <f t="shared" si="3"/>
        <v>1</v>
      </c>
      <c r="S34">
        <f t="shared" si="4"/>
        <v>0</v>
      </c>
      <c r="T34">
        <f t="shared" si="5"/>
        <v>0</v>
      </c>
    </row>
    <row r="35" spans="1:20" x14ac:dyDescent="0.3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3.92</v>
      </c>
      <c r="M35">
        <v>799477.76000000001</v>
      </c>
      <c r="N35">
        <v>164974.41</v>
      </c>
      <c r="O35">
        <f t="shared" si="0"/>
        <v>0</v>
      </c>
      <c r="P35">
        <f t="shared" si="1"/>
        <v>1</v>
      </c>
      <c r="Q35">
        <f t="shared" si="2"/>
        <v>0</v>
      </c>
      <c r="R35">
        <f t="shared" si="3"/>
        <v>1</v>
      </c>
      <c r="S35">
        <f t="shared" si="4"/>
        <v>0</v>
      </c>
      <c r="T35">
        <f t="shared" si="5"/>
        <v>0</v>
      </c>
    </row>
    <row r="36" spans="1:20" x14ac:dyDescent="0.3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O36">
        <f t="shared" si="0"/>
        <v>0</v>
      </c>
      <c r="P36">
        <f t="shared" si="1"/>
        <v>1</v>
      </c>
      <c r="Q36">
        <f t="shared" si="2"/>
        <v>0</v>
      </c>
      <c r="R36">
        <f t="shared" si="3"/>
        <v>1</v>
      </c>
      <c r="S36">
        <f t="shared" si="4"/>
        <v>0</v>
      </c>
      <c r="T36">
        <f t="shared" si="5"/>
        <v>0</v>
      </c>
    </row>
    <row r="37" spans="1:20" x14ac:dyDescent="0.3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O37">
        <f t="shared" si="0"/>
        <v>0</v>
      </c>
      <c r="P37">
        <f t="shared" si="1"/>
        <v>1</v>
      </c>
      <c r="Q37">
        <f t="shared" si="2"/>
        <v>0</v>
      </c>
      <c r="R37">
        <f t="shared" si="3"/>
        <v>1</v>
      </c>
      <c r="S37">
        <f t="shared" si="4"/>
        <v>0</v>
      </c>
      <c r="T37">
        <f t="shared" si="5"/>
        <v>0</v>
      </c>
    </row>
    <row r="38" spans="1:20" x14ac:dyDescent="0.3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O38">
        <f t="shared" si="0"/>
        <v>0</v>
      </c>
      <c r="P38">
        <f t="shared" si="1"/>
        <v>1</v>
      </c>
      <c r="Q38">
        <f t="shared" si="2"/>
        <v>0</v>
      </c>
      <c r="R38">
        <f t="shared" si="3"/>
        <v>0</v>
      </c>
      <c r="S38">
        <f t="shared" si="4"/>
        <v>0</v>
      </c>
      <c r="T38">
        <f t="shared" si="5"/>
        <v>1</v>
      </c>
    </row>
    <row r="39" spans="1:20" x14ac:dyDescent="0.3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O39">
        <f t="shared" si="0"/>
        <v>0</v>
      </c>
      <c r="P39">
        <f t="shared" si="1"/>
        <v>1</v>
      </c>
      <c r="Q39">
        <f t="shared" si="2"/>
        <v>0</v>
      </c>
      <c r="R39">
        <f t="shared" si="3"/>
        <v>0</v>
      </c>
      <c r="S39">
        <f t="shared" si="4"/>
        <v>0</v>
      </c>
      <c r="T39">
        <f t="shared" si="5"/>
        <v>1</v>
      </c>
    </row>
    <row r="40" spans="1:20" x14ac:dyDescent="0.3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O40">
        <f t="shared" si="0"/>
        <v>0</v>
      </c>
      <c r="P40">
        <f t="shared" si="1"/>
        <v>1</v>
      </c>
      <c r="Q40">
        <f t="shared" si="2"/>
        <v>0</v>
      </c>
      <c r="R40">
        <f t="shared" si="3"/>
        <v>0</v>
      </c>
      <c r="S40">
        <f t="shared" si="4"/>
        <v>0</v>
      </c>
      <c r="T40">
        <f t="shared" si="5"/>
        <v>1</v>
      </c>
    </row>
    <row r="41" spans="1:20" x14ac:dyDescent="0.3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O41">
        <f t="shared" si="0"/>
        <v>0</v>
      </c>
      <c r="P41">
        <f t="shared" si="1"/>
        <v>1</v>
      </c>
      <c r="Q41">
        <f t="shared" si="2"/>
        <v>0</v>
      </c>
      <c r="R41">
        <f t="shared" si="3"/>
        <v>0</v>
      </c>
      <c r="S41">
        <f t="shared" si="4"/>
        <v>0</v>
      </c>
      <c r="T41">
        <f t="shared" si="5"/>
        <v>1</v>
      </c>
    </row>
    <row r="42" spans="1:20" x14ac:dyDescent="0.3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O42">
        <f t="shared" si="0"/>
        <v>1</v>
      </c>
      <c r="P42">
        <f t="shared" si="1"/>
        <v>0</v>
      </c>
      <c r="Q42">
        <f t="shared" si="2"/>
        <v>0</v>
      </c>
      <c r="R42">
        <f t="shared" si="3"/>
        <v>0</v>
      </c>
      <c r="S42">
        <f t="shared" si="4"/>
        <v>0</v>
      </c>
      <c r="T42">
        <f t="shared" si="5"/>
        <v>1</v>
      </c>
    </row>
    <row r="43" spans="1:20" x14ac:dyDescent="0.3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O43">
        <f t="shared" si="0"/>
        <v>1</v>
      </c>
      <c r="P43">
        <f t="shared" si="1"/>
        <v>0</v>
      </c>
      <c r="Q43">
        <f t="shared" si="2"/>
        <v>0</v>
      </c>
      <c r="R43">
        <f t="shared" si="3"/>
        <v>0</v>
      </c>
      <c r="S43">
        <f t="shared" si="4"/>
        <v>0</v>
      </c>
      <c r="T43">
        <f t="shared" si="5"/>
        <v>1</v>
      </c>
    </row>
    <row r="44" spans="1:20" x14ac:dyDescent="0.3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O44">
        <f t="shared" si="0"/>
        <v>1</v>
      </c>
      <c r="P44">
        <f t="shared" si="1"/>
        <v>0</v>
      </c>
      <c r="Q44">
        <f t="shared" si="2"/>
        <v>0</v>
      </c>
      <c r="R44">
        <f t="shared" si="3"/>
        <v>0</v>
      </c>
      <c r="S44">
        <f t="shared" si="4"/>
        <v>0</v>
      </c>
      <c r="T44">
        <f t="shared" si="5"/>
        <v>1</v>
      </c>
    </row>
    <row r="45" spans="1:20" x14ac:dyDescent="0.3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O45">
        <f t="shared" si="0"/>
        <v>1</v>
      </c>
      <c r="P45">
        <f t="shared" si="1"/>
        <v>0</v>
      </c>
      <c r="Q45">
        <f t="shared" si="2"/>
        <v>0</v>
      </c>
      <c r="R45">
        <f t="shared" si="3"/>
        <v>0</v>
      </c>
      <c r="S45">
        <f t="shared" si="4"/>
        <v>0</v>
      </c>
      <c r="T45">
        <f t="shared" si="5"/>
        <v>1</v>
      </c>
    </row>
    <row r="46" spans="1:20" x14ac:dyDescent="0.3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O46">
        <f t="shared" si="0"/>
        <v>0</v>
      </c>
      <c r="P46">
        <f t="shared" si="1"/>
        <v>0</v>
      </c>
      <c r="Q46">
        <f t="shared" si="2"/>
        <v>0</v>
      </c>
      <c r="R46">
        <f t="shared" si="3"/>
        <v>1</v>
      </c>
      <c r="S46">
        <f t="shared" si="4"/>
        <v>0</v>
      </c>
      <c r="T46">
        <f t="shared" si="5"/>
        <v>0</v>
      </c>
    </row>
    <row r="47" spans="1:20" x14ac:dyDescent="0.3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O47">
        <f t="shared" si="0"/>
        <v>0</v>
      </c>
      <c r="P47">
        <f t="shared" si="1"/>
        <v>0</v>
      </c>
      <c r="Q47">
        <f t="shared" si="2"/>
        <v>0</v>
      </c>
      <c r="R47">
        <f t="shared" si="3"/>
        <v>1</v>
      </c>
      <c r="S47">
        <f t="shared" si="4"/>
        <v>0</v>
      </c>
      <c r="T47">
        <f t="shared" si="5"/>
        <v>0</v>
      </c>
    </row>
    <row r="48" spans="1:20" x14ac:dyDescent="0.3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O48">
        <f t="shared" si="0"/>
        <v>0</v>
      </c>
      <c r="P48">
        <f t="shared" si="1"/>
        <v>0</v>
      </c>
      <c r="Q48">
        <f t="shared" si="2"/>
        <v>0</v>
      </c>
      <c r="R48">
        <f t="shared" si="3"/>
        <v>1</v>
      </c>
      <c r="S48">
        <f t="shared" si="4"/>
        <v>0</v>
      </c>
      <c r="T48">
        <f t="shared" si="5"/>
        <v>0</v>
      </c>
    </row>
    <row r="49" spans="1:20" x14ac:dyDescent="0.3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O49">
        <f t="shared" si="0"/>
        <v>0</v>
      </c>
      <c r="P49">
        <f t="shared" si="1"/>
        <v>0</v>
      </c>
      <c r="Q49">
        <f t="shared" si="2"/>
        <v>0</v>
      </c>
      <c r="R49">
        <f t="shared" si="3"/>
        <v>1</v>
      </c>
      <c r="S49">
        <f t="shared" si="4"/>
        <v>0</v>
      </c>
      <c r="T49">
        <f t="shared" si="5"/>
        <v>0</v>
      </c>
    </row>
    <row r="50" spans="1:20" x14ac:dyDescent="0.3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O50">
        <f t="shared" si="0"/>
        <v>0</v>
      </c>
      <c r="P50">
        <f t="shared" si="1"/>
        <v>1</v>
      </c>
      <c r="Q50">
        <f t="shared" si="2"/>
        <v>0</v>
      </c>
      <c r="R50">
        <f t="shared" si="3"/>
        <v>0</v>
      </c>
      <c r="S50">
        <f t="shared" si="4"/>
        <v>0</v>
      </c>
      <c r="T50">
        <f t="shared" si="5"/>
        <v>1</v>
      </c>
    </row>
    <row r="51" spans="1:20" x14ac:dyDescent="0.3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O51">
        <f t="shared" si="0"/>
        <v>0</v>
      </c>
      <c r="P51">
        <f t="shared" si="1"/>
        <v>1</v>
      </c>
      <c r="Q51">
        <f t="shared" si="2"/>
        <v>0</v>
      </c>
      <c r="R51">
        <f t="shared" si="3"/>
        <v>0</v>
      </c>
      <c r="S51">
        <f t="shared" si="4"/>
        <v>0</v>
      </c>
      <c r="T51">
        <f t="shared" si="5"/>
        <v>1</v>
      </c>
    </row>
    <row r="52" spans="1:20" x14ac:dyDescent="0.3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O52">
        <f t="shared" si="0"/>
        <v>0</v>
      </c>
      <c r="P52">
        <f t="shared" si="1"/>
        <v>1</v>
      </c>
      <c r="Q52">
        <f t="shared" si="2"/>
        <v>0</v>
      </c>
      <c r="R52">
        <f t="shared" si="3"/>
        <v>0</v>
      </c>
      <c r="S52">
        <f t="shared" si="4"/>
        <v>0</v>
      </c>
      <c r="T52">
        <f t="shared" si="5"/>
        <v>1</v>
      </c>
    </row>
    <row r="53" spans="1:20" x14ac:dyDescent="0.3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O53">
        <f t="shared" si="0"/>
        <v>0</v>
      </c>
      <c r="P53">
        <f t="shared" si="1"/>
        <v>1</v>
      </c>
      <c r="Q53">
        <f t="shared" si="2"/>
        <v>0</v>
      </c>
      <c r="R53">
        <f t="shared" si="3"/>
        <v>0</v>
      </c>
      <c r="S53">
        <f t="shared" si="4"/>
        <v>0</v>
      </c>
      <c r="T53">
        <f t="shared" si="5"/>
        <v>1</v>
      </c>
    </row>
    <row r="54" spans="1:20" x14ac:dyDescent="0.3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O54">
        <f t="shared" si="0"/>
        <v>0</v>
      </c>
      <c r="P54">
        <f t="shared" si="1"/>
        <v>0</v>
      </c>
      <c r="Q54">
        <f t="shared" si="2"/>
        <v>0</v>
      </c>
      <c r="R54">
        <f t="shared" si="3"/>
        <v>0</v>
      </c>
      <c r="S54">
        <f t="shared" si="4"/>
        <v>1</v>
      </c>
      <c r="T54">
        <f t="shared" si="5"/>
        <v>0</v>
      </c>
    </row>
    <row r="55" spans="1:20" x14ac:dyDescent="0.3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O55">
        <f t="shared" si="0"/>
        <v>0</v>
      </c>
      <c r="P55">
        <f t="shared" si="1"/>
        <v>0</v>
      </c>
      <c r="Q55">
        <f t="shared" si="2"/>
        <v>0</v>
      </c>
      <c r="R55">
        <f t="shared" si="3"/>
        <v>0</v>
      </c>
      <c r="S55">
        <f t="shared" si="4"/>
        <v>1</v>
      </c>
      <c r="T55">
        <f t="shared" si="5"/>
        <v>0</v>
      </c>
    </row>
    <row r="56" spans="1:20" x14ac:dyDescent="0.3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O56">
        <f t="shared" si="0"/>
        <v>0</v>
      </c>
      <c r="P56">
        <f t="shared" si="1"/>
        <v>0</v>
      </c>
      <c r="Q56">
        <f t="shared" si="2"/>
        <v>0</v>
      </c>
      <c r="R56">
        <f t="shared" si="3"/>
        <v>0</v>
      </c>
      <c r="S56">
        <f t="shared" si="4"/>
        <v>1</v>
      </c>
      <c r="T56">
        <f t="shared" si="5"/>
        <v>0</v>
      </c>
    </row>
    <row r="57" spans="1:20" x14ac:dyDescent="0.3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O57">
        <f t="shared" si="0"/>
        <v>0</v>
      </c>
      <c r="P57">
        <f t="shared" si="1"/>
        <v>0</v>
      </c>
      <c r="Q57">
        <f t="shared" si="2"/>
        <v>0</v>
      </c>
      <c r="R57">
        <f t="shared" si="3"/>
        <v>0</v>
      </c>
      <c r="S57">
        <f t="shared" si="4"/>
        <v>1</v>
      </c>
      <c r="T57">
        <f t="shared" si="5"/>
        <v>0</v>
      </c>
    </row>
    <row r="58" spans="1:20" x14ac:dyDescent="0.3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O58">
        <f t="shared" si="0"/>
        <v>1</v>
      </c>
      <c r="P58">
        <f t="shared" si="1"/>
        <v>0</v>
      </c>
      <c r="Q58">
        <f t="shared" si="2"/>
        <v>0</v>
      </c>
      <c r="R58">
        <f t="shared" si="3"/>
        <v>0</v>
      </c>
      <c r="S58">
        <f t="shared" si="4"/>
        <v>0</v>
      </c>
      <c r="T58">
        <f t="shared" si="5"/>
        <v>0</v>
      </c>
    </row>
    <row r="59" spans="1:20" x14ac:dyDescent="0.3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O59">
        <f t="shared" si="0"/>
        <v>1</v>
      </c>
      <c r="P59">
        <f t="shared" si="1"/>
        <v>0</v>
      </c>
      <c r="Q59">
        <f t="shared" si="2"/>
        <v>0</v>
      </c>
      <c r="R59">
        <f t="shared" si="3"/>
        <v>0</v>
      </c>
      <c r="S59">
        <f t="shared" si="4"/>
        <v>0</v>
      </c>
      <c r="T59">
        <f t="shared" si="5"/>
        <v>0</v>
      </c>
    </row>
    <row r="60" spans="1:20" x14ac:dyDescent="0.3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O60">
        <f t="shared" si="0"/>
        <v>1</v>
      </c>
      <c r="P60">
        <f t="shared" si="1"/>
        <v>0</v>
      </c>
      <c r="Q60">
        <f t="shared" si="2"/>
        <v>0</v>
      </c>
      <c r="R60">
        <f t="shared" si="3"/>
        <v>0</v>
      </c>
      <c r="S60">
        <f t="shared" si="4"/>
        <v>0</v>
      </c>
      <c r="T60">
        <f t="shared" si="5"/>
        <v>0</v>
      </c>
    </row>
    <row r="61" spans="1:20" x14ac:dyDescent="0.3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O61">
        <f t="shared" si="0"/>
        <v>1</v>
      </c>
      <c r="P61">
        <f t="shared" si="1"/>
        <v>0</v>
      </c>
      <c r="Q61">
        <f t="shared" si="2"/>
        <v>0</v>
      </c>
      <c r="R61">
        <f t="shared" si="3"/>
        <v>0</v>
      </c>
      <c r="S61">
        <f t="shared" si="4"/>
        <v>0</v>
      </c>
      <c r="T61">
        <f t="shared" si="5"/>
        <v>0</v>
      </c>
    </row>
    <row r="62" spans="1:20" x14ac:dyDescent="0.3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O62">
        <f t="shared" si="0"/>
        <v>0</v>
      </c>
      <c r="P62">
        <f t="shared" si="1"/>
        <v>0</v>
      </c>
      <c r="Q62">
        <f t="shared" si="2"/>
        <v>1</v>
      </c>
      <c r="R62">
        <f t="shared" si="3"/>
        <v>0</v>
      </c>
      <c r="S62">
        <f t="shared" si="4"/>
        <v>1</v>
      </c>
      <c r="T62">
        <f t="shared" si="5"/>
        <v>0</v>
      </c>
    </row>
    <row r="63" spans="1:20" x14ac:dyDescent="0.3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O63">
        <f t="shared" si="0"/>
        <v>0</v>
      </c>
      <c r="P63">
        <f t="shared" si="1"/>
        <v>0</v>
      </c>
      <c r="Q63">
        <f t="shared" si="2"/>
        <v>1</v>
      </c>
      <c r="R63">
        <f t="shared" si="3"/>
        <v>0</v>
      </c>
      <c r="S63">
        <f t="shared" si="4"/>
        <v>1</v>
      </c>
      <c r="T63">
        <f t="shared" si="5"/>
        <v>0</v>
      </c>
    </row>
    <row r="64" spans="1:20" x14ac:dyDescent="0.3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O64">
        <f t="shared" si="0"/>
        <v>0</v>
      </c>
      <c r="P64">
        <f t="shared" si="1"/>
        <v>0</v>
      </c>
      <c r="Q64">
        <f t="shared" si="2"/>
        <v>1</v>
      </c>
      <c r="R64">
        <f t="shared" si="3"/>
        <v>0</v>
      </c>
      <c r="S64">
        <f t="shared" si="4"/>
        <v>1</v>
      </c>
      <c r="T64">
        <f t="shared" si="5"/>
        <v>0</v>
      </c>
    </row>
    <row r="65" spans="1:20" x14ac:dyDescent="0.3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O65">
        <f t="shared" si="0"/>
        <v>0</v>
      </c>
      <c r="P65">
        <f t="shared" si="1"/>
        <v>0</v>
      </c>
      <c r="Q65">
        <f t="shared" si="2"/>
        <v>1</v>
      </c>
      <c r="R65">
        <f t="shared" si="3"/>
        <v>0</v>
      </c>
      <c r="S65">
        <f t="shared" si="4"/>
        <v>1</v>
      </c>
      <c r="T65">
        <f t="shared" si="5"/>
        <v>0</v>
      </c>
    </row>
    <row r="66" spans="1:20" x14ac:dyDescent="0.3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O66">
        <f t="shared" si="0"/>
        <v>0</v>
      </c>
      <c r="P66">
        <f t="shared" si="1"/>
        <v>0</v>
      </c>
      <c r="Q66">
        <f t="shared" si="2"/>
        <v>0</v>
      </c>
      <c r="R66">
        <f t="shared" si="3"/>
        <v>0</v>
      </c>
      <c r="S66">
        <f t="shared" si="4"/>
        <v>1</v>
      </c>
      <c r="T66">
        <f t="shared" si="5"/>
        <v>0</v>
      </c>
    </row>
    <row r="67" spans="1:20" x14ac:dyDescent="0.3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O67">
        <f t="shared" ref="O67:O130" si="6">IF(C67="East",1,0)</f>
        <v>0</v>
      </c>
      <c r="P67">
        <f t="shared" ref="P67:P130" si="7">IF(C67="North",1,0)</f>
        <v>0</v>
      </c>
      <c r="Q67">
        <f t="shared" ref="Q67:Q130" si="8">IF(C67="South",1,0)</f>
        <v>0</v>
      </c>
      <c r="R67">
        <f t="shared" ref="R67:R130" si="9">IF(D67="Residential",1,0)</f>
        <v>0</v>
      </c>
      <c r="S67">
        <f t="shared" ref="S67:S130" si="10">IF(D67="High Street",1,0)</f>
        <v>1</v>
      </c>
      <c r="T67">
        <f t="shared" ref="T67:T130" si="11">IF(D67="Mall",1,0)</f>
        <v>0</v>
      </c>
    </row>
    <row r="68" spans="1:20" x14ac:dyDescent="0.3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O68">
        <f t="shared" si="6"/>
        <v>0</v>
      </c>
      <c r="P68">
        <f t="shared" si="7"/>
        <v>0</v>
      </c>
      <c r="Q68">
        <f t="shared" si="8"/>
        <v>0</v>
      </c>
      <c r="R68">
        <f t="shared" si="9"/>
        <v>0</v>
      </c>
      <c r="S68">
        <f t="shared" si="10"/>
        <v>1</v>
      </c>
      <c r="T68">
        <f t="shared" si="11"/>
        <v>0</v>
      </c>
    </row>
    <row r="69" spans="1:20" x14ac:dyDescent="0.3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O69">
        <f t="shared" si="6"/>
        <v>0</v>
      </c>
      <c r="P69">
        <f t="shared" si="7"/>
        <v>0</v>
      </c>
      <c r="Q69">
        <f t="shared" si="8"/>
        <v>0</v>
      </c>
      <c r="R69">
        <f t="shared" si="9"/>
        <v>0</v>
      </c>
      <c r="S69">
        <f t="shared" si="10"/>
        <v>1</v>
      </c>
      <c r="T69">
        <f t="shared" si="11"/>
        <v>0</v>
      </c>
    </row>
    <row r="70" spans="1:20" x14ac:dyDescent="0.3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O70">
        <f t="shared" si="6"/>
        <v>1</v>
      </c>
      <c r="P70">
        <f t="shared" si="7"/>
        <v>0</v>
      </c>
      <c r="Q70">
        <f t="shared" si="8"/>
        <v>0</v>
      </c>
      <c r="R70">
        <f t="shared" si="9"/>
        <v>0</v>
      </c>
      <c r="S70">
        <f t="shared" si="10"/>
        <v>1</v>
      </c>
      <c r="T70">
        <f t="shared" si="11"/>
        <v>0</v>
      </c>
    </row>
    <row r="71" spans="1:20" x14ac:dyDescent="0.3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O71">
        <f t="shared" si="6"/>
        <v>1</v>
      </c>
      <c r="P71">
        <f t="shared" si="7"/>
        <v>0</v>
      </c>
      <c r="Q71">
        <f t="shared" si="8"/>
        <v>0</v>
      </c>
      <c r="R71">
        <f t="shared" si="9"/>
        <v>0</v>
      </c>
      <c r="S71">
        <f t="shared" si="10"/>
        <v>1</v>
      </c>
      <c r="T71">
        <f t="shared" si="11"/>
        <v>0</v>
      </c>
    </row>
    <row r="72" spans="1:20" x14ac:dyDescent="0.3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O72">
        <f t="shared" si="6"/>
        <v>1</v>
      </c>
      <c r="P72">
        <f t="shared" si="7"/>
        <v>0</v>
      </c>
      <c r="Q72">
        <f t="shared" si="8"/>
        <v>0</v>
      </c>
      <c r="R72">
        <f t="shared" si="9"/>
        <v>0</v>
      </c>
      <c r="S72">
        <f t="shared" si="10"/>
        <v>1</v>
      </c>
      <c r="T72">
        <f t="shared" si="11"/>
        <v>0</v>
      </c>
    </row>
    <row r="73" spans="1:20" x14ac:dyDescent="0.3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4.55</v>
      </c>
      <c r="K73">
        <v>0</v>
      </c>
      <c r="L73">
        <v>3.5</v>
      </c>
      <c r="M73">
        <v>674774.09</v>
      </c>
      <c r="N73">
        <v>141917.59</v>
      </c>
      <c r="O73">
        <f t="shared" si="6"/>
        <v>1</v>
      </c>
      <c r="P73">
        <f t="shared" si="7"/>
        <v>0</v>
      </c>
      <c r="Q73">
        <f t="shared" si="8"/>
        <v>0</v>
      </c>
      <c r="R73">
        <f t="shared" si="9"/>
        <v>0</v>
      </c>
      <c r="S73">
        <f t="shared" si="10"/>
        <v>1</v>
      </c>
      <c r="T73">
        <f t="shared" si="11"/>
        <v>0</v>
      </c>
    </row>
    <row r="74" spans="1:20" x14ac:dyDescent="0.3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O74">
        <f t="shared" si="6"/>
        <v>1</v>
      </c>
      <c r="P74">
        <f t="shared" si="7"/>
        <v>0</v>
      </c>
      <c r="Q74">
        <f t="shared" si="8"/>
        <v>0</v>
      </c>
      <c r="R74">
        <f t="shared" si="9"/>
        <v>1</v>
      </c>
      <c r="S74">
        <f t="shared" si="10"/>
        <v>0</v>
      </c>
      <c r="T74">
        <f t="shared" si="11"/>
        <v>0</v>
      </c>
    </row>
    <row r="75" spans="1:20" x14ac:dyDescent="0.3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O75">
        <f t="shared" si="6"/>
        <v>1</v>
      </c>
      <c r="P75">
        <f t="shared" si="7"/>
        <v>0</v>
      </c>
      <c r="Q75">
        <f t="shared" si="8"/>
        <v>0</v>
      </c>
      <c r="R75">
        <f t="shared" si="9"/>
        <v>1</v>
      </c>
      <c r="S75">
        <f t="shared" si="10"/>
        <v>0</v>
      </c>
      <c r="T75">
        <f t="shared" si="11"/>
        <v>0</v>
      </c>
    </row>
    <row r="76" spans="1:20" x14ac:dyDescent="0.3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O76">
        <f t="shared" si="6"/>
        <v>1</v>
      </c>
      <c r="P76">
        <f t="shared" si="7"/>
        <v>0</v>
      </c>
      <c r="Q76">
        <f t="shared" si="8"/>
        <v>0</v>
      </c>
      <c r="R76">
        <f t="shared" si="9"/>
        <v>1</v>
      </c>
      <c r="S76">
        <f t="shared" si="10"/>
        <v>0</v>
      </c>
      <c r="T76">
        <f t="shared" si="11"/>
        <v>0</v>
      </c>
    </row>
    <row r="77" spans="1:20" x14ac:dyDescent="0.3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O77">
        <f t="shared" si="6"/>
        <v>1</v>
      </c>
      <c r="P77">
        <f t="shared" si="7"/>
        <v>0</v>
      </c>
      <c r="Q77">
        <f t="shared" si="8"/>
        <v>0</v>
      </c>
      <c r="R77">
        <f t="shared" si="9"/>
        <v>1</v>
      </c>
      <c r="S77">
        <f t="shared" si="10"/>
        <v>0</v>
      </c>
      <c r="T77">
        <f t="shared" si="11"/>
        <v>0</v>
      </c>
    </row>
    <row r="78" spans="1:20" x14ac:dyDescent="0.3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O78">
        <f t="shared" si="6"/>
        <v>0</v>
      </c>
      <c r="P78">
        <f t="shared" si="7"/>
        <v>0</v>
      </c>
      <c r="Q78">
        <f t="shared" si="8"/>
        <v>1</v>
      </c>
      <c r="R78">
        <f t="shared" si="9"/>
        <v>0</v>
      </c>
      <c r="S78">
        <f t="shared" si="10"/>
        <v>1</v>
      </c>
      <c r="T78">
        <f t="shared" si="11"/>
        <v>0</v>
      </c>
    </row>
    <row r="79" spans="1:20" x14ac:dyDescent="0.3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O79">
        <f t="shared" si="6"/>
        <v>0</v>
      </c>
      <c r="P79">
        <f t="shared" si="7"/>
        <v>0</v>
      </c>
      <c r="Q79">
        <f t="shared" si="8"/>
        <v>1</v>
      </c>
      <c r="R79">
        <f t="shared" si="9"/>
        <v>0</v>
      </c>
      <c r="S79">
        <f t="shared" si="10"/>
        <v>1</v>
      </c>
      <c r="T79">
        <f t="shared" si="11"/>
        <v>0</v>
      </c>
    </row>
    <row r="80" spans="1:20" x14ac:dyDescent="0.3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O80">
        <f t="shared" si="6"/>
        <v>0</v>
      </c>
      <c r="P80">
        <f t="shared" si="7"/>
        <v>0</v>
      </c>
      <c r="Q80">
        <f t="shared" si="8"/>
        <v>1</v>
      </c>
      <c r="R80">
        <f t="shared" si="9"/>
        <v>0</v>
      </c>
      <c r="S80">
        <f t="shared" si="10"/>
        <v>1</v>
      </c>
      <c r="T80">
        <f t="shared" si="11"/>
        <v>0</v>
      </c>
    </row>
    <row r="81" spans="1:20" x14ac:dyDescent="0.3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O81">
        <f t="shared" si="6"/>
        <v>0</v>
      </c>
      <c r="P81">
        <f t="shared" si="7"/>
        <v>0</v>
      </c>
      <c r="Q81">
        <f t="shared" si="8"/>
        <v>1</v>
      </c>
      <c r="R81">
        <f t="shared" si="9"/>
        <v>0</v>
      </c>
      <c r="S81">
        <f t="shared" si="10"/>
        <v>1</v>
      </c>
      <c r="T81">
        <f t="shared" si="11"/>
        <v>0</v>
      </c>
    </row>
    <row r="82" spans="1:20" x14ac:dyDescent="0.3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O82">
        <f t="shared" si="6"/>
        <v>0</v>
      </c>
      <c r="P82">
        <f t="shared" si="7"/>
        <v>0</v>
      </c>
      <c r="Q82">
        <f t="shared" si="8"/>
        <v>0</v>
      </c>
      <c r="R82">
        <f t="shared" si="9"/>
        <v>0</v>
      </c>
      <c r="S82">
        <f t="shared" si="10"/>
        <v>0</v>
      </c>
      <c r="T82">
        <f t="shared" si="11"/>
        <v>1</v>
      </c>
    </row>
    <row r="83" spans="1:20" x14ac:dyDescent="0.3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O83">
        <f t="shared" si="6"/>
        <v>0</v>
      </c>
      <c r="P83">
        <f t="shared" si="7"/>
        <v>0</v>
      </c>
      <c r="Q83">
        <f t="shared" si="8"/>
        <v>0</v>
      </c>
      <c r="R83">
        <f t="shared" si="9"/>
        <v>0</v>
      </c>
      <c r="S83">
        <f t="shared" si="10"/>
        <v>0</v>
      </c>
      <c r="T83">
        <f t="shared" si="11"/>
        <v>1</v>
      </c>
    </row>
    <row r="84" spans="1:20" x14ac:dyDescent="0.3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O84">
        <f t="shared" si="6"/>
        <v>0</v>
      </c>
      <c r="P84">
        <f t="shared" si="7"/>
        <v>0</v>
      </c>
      <c r="Q84">
        <f t="shared" si="8"/>
        <v>0</v>
      </c>
      <c r="R84">
        <f t="shared" si="9"/>
        <v>0</v>
      </c>
      <c r="S84">
        <f t="shared" si="10"/>
        <v>0</v>
      </c>
      <c r="T84">
        <f t="shared" si="11"/>
        <v>1</v>
      </c>
    </row>
    <row r="85" spans="1:20" x14ac:dyDescent="0.3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O85">
        <f t="shared" si="6"/>
        <v>0</v>
      </c>
      <c r="P85">
        <f t="shared" si="7"/>
        <v>0</v>
      </c>
      <c r="Q85">
        <f t="shared" si="8"/>
        <v>0</v>
      </c>
      <c r="R85">
        <f t="shared" si="9"/>
        <v>0</v>
      </c>
      <c r="S85">
        <f t="shared" si="10"/>
        <v>0</v>
      </c>
      <c r="T85">
        <f t="shared" si="11"/>
        <v>1</v>
      </c>
    </row>
    <row r="86" spans="1:20" x14ac:dyDescent="0.3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O86">
        <f t="shared" si="6"/>
        <v>0</v>
      </c>
      <c r="P86">
        <f t="shared" si="7"/>
        <v>0</v>
      </c>
      <c r="Q86">
        <f t="shared" si="8"/>
        <v>0</v>
      </c>
      <c r="R86">
        <f t="shared" si="9"/>
        <v>0</v>
      </c>
      <c r="S86">
        <f t="shared" si="10"/>
        <v>1</v>
      </c>
      <c r="T86">
        <f t="shared" si="11"/>
        <v>0</v>
      </c>
    </row>
    <row r="87" spans="1:20" x14ac:dyDescent="0.3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3.92</v>
      </c>
      <c r="M87">
        <v>611766.72</v>
      </c>
      <c r="N87">
        <v>88275.61</v>
      </c>
      <c r="O87">
        <f t="shared" si="6"/>
        <v>0</v>
      </c>
      <c r="P87">
        <f t="shared" si="7"/>
        <v>0</v>
      </c>
      <c r="Q87">
        <f t="shared" si="8"/>
        <v>0</v>
      </c>
      <c r="R87">
        <f t="shared" si="9"/>
        <v>0</v>
      </c>
      <c r="S87">
        <f t="shared" si="10"/>
        <v>1</v>
      </c>
      <c r="T87">
        <f t="shared" si="11"/>
        <v>0</v>
      </c>
    </row>
    <row r="88" spans="1:20" x14ac:dyDescent="0.3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O88">
        <f t="shared" si="6"/>
        <v>0</v>
      </c>
      <c r="P88">
        <f t="shared" si="7"/>
        <v>0</v>
      </c>
      <c r="Q88">
        <f t="shared" si="8"/>
        <v>0</v>
      </c>
      <c r="R88">
        <f t="shared" si="9"/>
        <v>0</v>
      </c>
      <c r="S88">
        <f t="shared" si="10"/>
        <v>1</v>
      </c>
      <c r="T88">
        <f t="shared" si="11"/>
        <v>0</v>
      </c>
    </row>
    <row r="89" spans="1:20" x14ac:dyDescent="0.3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O89">
        <f t="shared" si="6"/>
        <v>0</v>
      </c>
      <c r="P89">
        <f t="shared" si="7"/>
        <v>0</v>
      </c>
      <c r="Q89">
        <f t="shared" si="8"/>
        <v>0</v>
      </c>
      <c r="R89">
        <f t="shared" si="9"/>
        <v>0</v>
      </c>
      <c r="S89">
        <f t="shared" si="10"/>
        <v>1</v>
      </c>
      <c r="T89">
        <f t="shared" si="11"/>
        <v>0</v>
      </c>
    </row>
    <row r="90" spans="1:20" x14ac:dyDescent="0.3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O90">
        <f t="shared" si="6"/>
        <v>0</v>
      </c>
      <c r="P90">
        <f t="shared" si="7"/>
        <v>0</v>
      </c>
      <c r="Q90">
        <f t="shared" si="8"/>
        <v>1</v>
      </c>
      <c r="R90">
        <f t="shared" si="9"/>
        <v>0</v>
      </c>
      <c r="S90">
        <f t="shared" si="10"/>
        <v>0</v>
      </c>
      <c r="T90">
        <f t="shared" si="11"/>
        <v>1</v>
      </c>
    </row>
    <row r="91" spans="1:20" x14ac:dyDescent="0.3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O91">
        <f t="shared" si="6"/>
        <v>0</v>
      </c>
      <c r="P91">
        <f t="shared" si="7"/>
        <v>0</v>
      </c>
      <c r="Q91">
        <f t="shared" si="8"/>
        <v>1</v>
      </c>
      <c r="R91">
        <f t="shared" si="9"/>
        <v>0</v>
      </c>
      <c r="S91">
        <f t="shared" si="10"/>
        <v>0</v>
      </c>
      <c r="T91">
        <f t="shared" si="11"/>
        <v>1</v>
      </c>
    </row>
    <row r="92" spans="1:20" x14ac:dyDescent="0.3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O92">
        <f t="shared" si="6"/>
        <v>0</v>
      </c>
      <c r="P92">
        <f t="shared" si="7"/>
        <v>0</v>
      </c>
      <c r="Q92">
        <f t="shared" si="8"/>
        <v>1</v>
      </c>
      <c r="R92">
        <f t="shared" si="9"/>
        <v>0</v>
      </c>
      <c r="S92">
        <f t="shared" si="10"/>
        <v>0</v>
      </c>
      <c r="T92">
        <f t="shared" si="11"/>
        <v>1</v>
      </c>
    </row>
    <row r="93" spans="1:20" x14ac:dyDescent="0.3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O93">
        <f t="shared" si="6"/>
        <v>0</v>
      </c>
      <c r="P93">
        <f t="shared" si="7"/>
        <v>0</v>
      </c>
      <c r="Q93">
        <f t="shared" si="8"/>
        <v>1</v>
      </c>
      <c r="R93">
        <f t="shared" si="9"/>
        <v>0</v>
      </c>
      <c r="S93">
        <f t="shared" si="10"/>
        <v>0</v>
      </c>
      <c r="T93">
        <f t="shared" si="11"/>
        <v>1</v>
      </c>
    </row>
    <row r="94" spans="1:20" x14ac:dyDescent="0.3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O94">
        <f t="shared" si="6"/>
        <v>0</v>
      </c>
      <c r="P94">
        <f t="shared" si="7"/>
        <v>0</v>
      </c>
      <c r="Q94">
        <f t="shared" si="8"/>
        <v>0</v>
      </c>
      <c r="R94">
        <f t="shared" si="9"/>
        <v>1</v>
      </c>
      <c r="S94">
        <f t="shared" si="10"/>
        <v>0</v>
      </c>
      <c r="T94">
        <f t="shared" si="11"/>
        <v>0</v>
      </c>
    </row>
    <row r="95" spans="1:20" x14ac:dyDescent="0.3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O95">
        <f t="shared" si="6"/>
        <v>0</v>
      </c>
      <c r="P95">
        <f t="shared" si="7"/>
        <v>0</v>
      </c>
      <c r="Q95">
        <f t="shared" si="8"/>
        <v>0</v>
      </c>
      <c r="R95">
        <f t="shared" si="9"/>
        <v>1</v>
      </c>
      <c r="S95">
        <f t="shared" si="10"/>
        <v>0</v>
      </c>
      <c r="T95">
        <f t="shared" si="11"/>
        <v>0</v>
      </c>
    </row>
    <row r="96" spans="1:20" x14ac:dyDescent="0.3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O96">
        <f t="shared" si="6"/>
        <v>0</v>
      </c>
      <c r="P96">
        <f t="shared" si="7"/>
        <v>0</v>
      </c>
      <c r="Q96">
        <f t="shared" si="8"/>
        <v>0</v>
      </c>
      <c r="R96">
        <f t="shared" si="9"/>
        <v>1</v>
      </c>
      <c r="S96">
        <f t="shared" si="10"/>
        <v>0</v>
      </c>
      <c r="T96">
        <f t="shared" si="11"/>
        <v>0</v>
      </c>
    </row>
    <row r="97" spans="1:20" x14ac:dyDescent="0.3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O97">
        <f t="shared" si="6"/>
        <v>0</v>
      </c>
      <c r="P97">
        <f t="shared" si="7"/>
        <v>0</v>
      </c>
      <c r="Q97">
        <f t="shared" si="8"/>
        <v>0</v>
      </c>
      <c r="R97">
        <f t="shared" si="9"/>
        <v>1</v>
      </c>
      <c r="S97">
        <f t="shared" si="10"/>
        <v>0</v>
      </c>
      <c r="T97">
        <f t="shared" si="11"/>
        <v>0</v>
      </c>
    </row>
    <row r="98" spans="1:20" x14ac:dyDescent="0.3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O98">
        <f t="shared" si="6"/>
        <v>0</v>
      </c>
      <c r="P98">
        <f t="shared" si="7"/>
        <v>0</v>
      </c>
      <c r="Q98">
        <f t="shared" si="8"/>
        <v>0</v>
      </c>
      <c r="R98">
        <f t="shared" si="9"/>
        <v>0</v>
      </c>
      <c r="S98">
        <f t="shared" si="10"/>
        <v>0</v>
      </c>
      <c r="T98">
        <f t="shared" si="11"/>
        <v>1</v>
      </c>
    </row>
    <row r="99" spans="1:20" x14ac:dyDescent="0.3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O99">
        <f t="shared" si="6"/>
        <v>0</v>
      </c>
      <c r="P99">
        <f t="shared" si="7"/>
        <v>0</v>
      </c>
      <c r="Q99">
        <f t="shared" si="8"/>
        <v>0</v>
      </c>
      <c r="R99">
        <f t="shared" si="9"/>
        <v>0</v>
      </c>
      <c r="S99">
        <f t="shared" si="10"/>
        <v>0</v>
      </c>
      <c r="T99">
        <f t="shared" si="11"/>
        <v>1</v>
      </c>
    </row>
    <row r="100" spans="1:20" x14ac:dyDescent="0.3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4.55</v>
      </c>
      <c r="K100">
        <v>0</v>
      </c>
      <c r="L100">
        <v>4.3</v>
      </c>
      <c r="M100">
        <v>605775.32999999996</v>
      </c>
      <c r="N100">
        <v>107194.6</v>
      </c>
      <c r="O100">
        <f t="shared" si="6"/>
        <v>0</v>
      </c>
      <c r="P100">
        <f t="shared" si="7"/>
        <v>0</v>
      </c>
      <c r="Q100">
        <f t="shared" si="8"/>
        <v>0</v>
      </c>
      <c r="R100">
        <f t="shared" si="9"/>
        <v>0</v>
      </c>
      <c r="S100">
        <f t="shared" si="10"/>
        <v>0</v>
      </c>
      <c r="T100">
        <f t="shared" si="11"/>
        <v>1</v>
      </c>
    </row>
    <row r="101" spans="1:20" x14ac:dyDescent="0.3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O101">
        <f t="shared" si="6"/>
        <v>0</v>
      </c>
      <c r="P101">
        <f t="shared" si="7"/>
        <v>0</v>
      </c>
      <c r="Q101">
        <f t="shared" si="8"/>
        <v>0</v>
      </c>
      <c r="R101">
        <f t="shared" si="9"/>
        <v>0</v>
      </c>
      <c r="S101">
        <f t="shared" si="10"/>
        <v>0</v>
      </c>
      <c r="T101">
        <f t="shared" si="11"/>
        <v>1</v>
      </c>
    </row>
    <row r="102" spans="1:20" x14ac:dyDescent="0.3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O102">
        <f t="shared" si="6"/>
        <v>1</v>
      </c>
      <c r="P102">
        <f t="shared" si="7"/>
        <v>0</v>
      </c>
      <c r="Q102">
        <f t="shared" si="8"/>
        <v>0</v>
      </c>
      <c r="R102">
        <f t="shared" si="9"/>
        <v>0</v>
      </c>
      <c r="S102">
        <f t="shared" si="10"/>
        <v>0</v>
      </c>
      <c r="T102">
        <f t="shared" si="11"/>
        <v>1</v>
      </c>
    </row>
    <row r="103" spans="1:20" x14ac:dyDescent="0.3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O103">
        <f t="shared" si="6"/>
        <v>1</v>
      </c>
      <c r="P103">
        <f t="shared" si="7"/>
        <v>0</v>
      </c>
      <c r="Q103">
        <f t="shared" si="8"/>
        <v>0</v>
      </c>
      <c r="R103">
        <f t="shared" si="9"/>
        <v>0</v>
      </c>
      <c r="S103">
        <f t="shared" si="10"/>
        <v>0</v>
      </c>
      <c r="T103">
        <f t="shared" si="11"/>
        <v>1</v>
      </c>
    </row>
    <row r="104" spans="1:20" x14ac:dyDescent="0.3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O104">
        <f t="shared" si="6"/>
        <v>1</v>
      </c>
      <c r="P104">
        <f t="shared" si="7"/>
        <v>0</v>
      </c>
      <c r="Q104">
        <f t="shared" si="8"/>
        <v>0</v>
      </c>
      <c r="R104">
        <f t="shared" si="9"/>
        <v>0</v>
      </c>
      <c r="S104">
        <f t="shared" si="10"/>
        <v>0</v>
      </c>
      <c r="T104">
        <f t="shared" si="11"/>
        <v>1</v>
      </c>
    </row>
    <row r="105" spans="1:20" x14ac:dyDescent="0.3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O105">
        <f t="shared" si="6"/>
        <v>1</v>
      </c>
      <c r="P105">
        <f t="shared" si="7"/>
        <v>0</v>
      </c>
      <c r="Q105">
        <f t="shared" si="8"/>
        <v>0</v>
      </c>
      <c r="R105">
        <f t="shared" si="9"/>
        <v>0</v>
      </c>
      <c r="S105">
        <f t="shared" si="10"/>
        <v>0</v>
      </c>
      <c r="T105">
        <f t="shared" si="11"/>
        <v>1</v>
      </c>
    </row>
    <row r="106" spans="1:20" x14ac:dyDescent="0.3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O106">
        <f t="shared" si="6"/>
        <v>0</v>
      </c>
      <c r="P106">
        <f t="shared" si="7"/>
        <v>0</v>
      </c>
      <c r="Q106">
        <f t="shared" si="8"/>
        <v>0</v>
      </c>
      <c r="R106">
        <f t="shared" si="9"/>
        <v>0</v>
      </c>
      <c r="S106">
        <f t="shared" si="10"/>
        <v>1</v>
      </c>
      <c r="T106">
        <f t="shared" si="11"/>
        <v>0</v>
      </c>
    </row>
    <row r="107" spans="1:20" x14ac:dyDescent="0.3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O107">
        <f t="shared" si="6"/>
        <v>0</v>
      </c>
      <c r="P107">
        <f t="shared" si="7"/>
        <v>0</v>
      </c>
      <c r="Q107">
        <f t="shared" si="8"/>
        <v>0</v>
      </c>
      <c r="R107">
        <f t="shared" si="9"/>
        <v>0</v>
      </c>
      <c r="S107">
        <f t="shared" si="10"/>
        <v>1</v>
      </c>
      <c r="T107">
        <f t="shared" si="11"/>
        <v>0</v>
      </c>
    </row>
    <row r="108" spans="1:20" x14ac:dyDescent="0.3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O108">
        <f t="shared" si="6"/>
        <v>0</v>
      </c>
      <c r="P108">
        <f t="shared" si="7"/>
        <v>0</v>
      </c>
      <c r="Q108">
        <f t="shared" si="8"/>
        <v>0</v>
      </c>
      <c r="R108">
        <f t="shared" si="9"/>
        <v>0</v>
      </c>
      <c r="S108">
        <f t="shared" si="10"/>
        <v>1</v>
      </c>
      <c r="T108">
        <f t="shared" si="11"/>
        <v>0</v>
      </c>
    </row>
    <row r="109" spans="1:20" x14ac:dyDescent="0.3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O109">
        <f t="shared" si="6"/>
        <v>0</v>
      </c>
      <c r="P109">
        <f t="shared" si="7"/>
        <v>0</v>
      </c>
      <c r="Q109">
        <f t="shared" si="8"/>
        <v>0</v>
      </c>
      <c r="R109">
        <f t="shared" si="9"/>
        <v>0</v>
      </c>
      <c r="S109">
        <f t="shared" si="10"/>
        <v>1</v>
      </c>
      <c r="T109">
        <f t="shared" si="11"/>
        <v>0</v>
      </c>
    </row>
    <row r="110" spans="1:20" x14ac:dyDescent="0.3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O110">
        <f t="shared" si="6"/>
        <v>1</v>
      </c>
      <c r="P110">
        <f t="shared" si="7"/>
        <v>0</v>
      </c>
      <c r="Q110">
        <f t="shared" si="8"/>
        <v>0</v>
      </c>
      <c r="R110">
        <f t="shared" si="9"/>
        <v>0</v>
      </c>
      <c r="S110">
        <f t="shared" si="10"/>
        <v>0</v>
      </c>
      <c r="T110">
        <f t="shared" si="11"/>
        <v>1</v>
      </c>
    </row>
    <row r="111" spans="1:20" x14ac:dyDescent="0.3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O111">
        <f t="shared" si="6"/>
        <v>1</v>
      </c>
      <c r="P111">
        <f t="shared" si="7"/>
        <v>0</v>
      </c>
      <c r="Q111">
        <f t="shared" si="8"/>
        <v>0</v>
      </c>
      <c r="R111">
        <f t="shared" si="9"/>
        <v>0</v>
      </c>
      <c r="S111">
        <f t="shared" si="10"/>
        <v>0</v>
      </c>
      <c r="T111">
        <f t="shared" si="11"/>
        <v>1</v>
      </c>
    </row>
    <row r="112" spans="1:20" x14ac:dyDescent="0.3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O112">
        <f t="shared" si="6"/>
        <v>1</v>
      </c>
      <c r="P112">
        <f t="shared" si="7"/>
        <v>0</v>
      </c>
      <c r="Q112">
        <f t="shared" si="8"/>
        <v>0</v>
      </c>
      <c r="R112">
        <f t="shared" si="9"/>
        <v>0</v>
      </c>
      <c r="S112">
        <f t="shared" si="10"/>
        <v>0</v>
      </c>
      <c r="T112">
        <f t="shared" si="11"/>
        <v>1</v>
      </c>
    </row>
    <row r="113" spans="1:20" x14ac:dyDescent="0.3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O113">
        <f t="shared" si="6"/>
        <v>1</v>
      </c>
      <c r="P113">
        <f t="shared" si="7"/>
        <v>0</v>
      </c>
      <c r="Q113">
        <f t="shared" si="8"/>
        <v>0</v>
      </c>
      <c r="R113">
        <f t="shared" si="9"/>
        <v>0</v>
      </c>
      <c r="S113">
        <f t="shared" si="10"/>
        <v>0</v>
      </c>
      <c r="T113">
        <f t="shared" si="11"/>
        <v>1</v>
      </c>
    </row>
    <row r="114" spans="1:20" x14ac:dyDescent="0.3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O114">
        <f t="shared" si="6"/>
        <v>0</v>
      </c>
      <c r="P114">
        <f t="shared" si="7"/>
        <v>0</v>
      </c>
      <c r="Q114">
        <f t="shared" si="8"/>
        <v>0</v>
      </c>
      <c r="R114">
        <f t="shared" si="9"/>
        <v>0</v>
      </c>
      <c r="S114">
        <f t="shared" si="10"/>
        <v>0</v>
      </c>
      <c r="T114">
        <f t="shared" si="11"/>
        <v>1</v>
      </c>
    </row>
    <row r="115" spans="1:20" x14ac:dyDescent="0.3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O115">
        <f t="shared" si="6"/>
        <v>0</v>
      </c>
      <c r="P115">
        <f t="shared" si="7"/>
        <v>0</v>
      </c>
      <c r="Q115">
        <f t="shared" si="8"/>
        <v>0</v>
      </c>
      <c r="R115">
        <f t="shared" si="9"/>
        <v>0</v>
      </c>
      <c r="S115">
        <f t="shared" si="10"/>
        <v>0</v>
      </c>
      <c r="T115">
        <f t="shared" si="11"/>
        <v>1</v>
      </c>
    </row>
    <row r="116" spans="1:20" x14ac:dyDescent="0.3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O116">
        <f t="shared" si="6"/>
        <v>0</v>
      </c>
      <c r="P116">
        <f t="shared" si="7"/>
        <v>0</v>
      </c>
      <c r="Q116">
        <f t="shared" si="8"/>
        <v>0</v>
      </c>
      <c r="R116">
        <f t="shared" si="9"/>
        <v>0</v>
      </c>
      <c r="S116">
        <f t="shared" si="10"/>
        <v>0</v>
      </c>
      <c r="T116">
        <f t="shared" si="11"/>
        <v>1</v>
      </c>
    </row>
    <row r="117" spans="1:20" x14ac:dyDescent="0.3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O117">
        <f t="shared" si="6"/>
        <v>0</v>
      </c>
      <c r="P117">
        <f t="shared" si="7"/>
        <v>0</v>
      </c>
      <c r="Q117">
        <f t="shared" si="8"/>
        <v>0</v>
      </c>
      <c r="R117">
        <f t="shared" si="9"/>
        <v>0</v>
      </c>
      <c r="S117">
        <f t="shared" si="10"/>
        <v>0</v>
      </c>
      <c r="T117">
        <f t="shared" si="11"/>
        <v>1</v>
      </c>
    </row>
    <row r="118" spans="1:20" x14ac:dyDescent="0.3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O118">
        <f t="shared" si="6"/>
        <v>0</v>
      </c>
      <c r="P118">
        <f t="shared" si="7"/>
        <v>0</v>
      </c>
      <c r="Q118">
        <f t="shared" si="8"/>
        <v>0</v>
      </c>
      <c r="R118">
        <f t="shared" si="9"/>
        <v>1</v>
      </c>
      <c r="S118">
        <f t="shared" si="10"/>
        <v>0</v>
      </c>
      <c r="T118">
        <f t="shared" si="11"/>
        <v>0</v>
      </c>
    </row>
    <row r="119" spans="1:20" x14ac:dyDescent="0.3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O119">
        <f t="shared" si="6"/>
        <v>0</v>
      </c>
      <c r="P119">
        <f t="shared" si="7"/>
        <v>0</v>
      </c>
      <c r="Q119">
        <f t="shared" si="8"/>
        <v>0</v>
      </c>
      <c r="R119">
        <f t="shared" si="9"/>
        <v>1</v>
      </c>
      <c r="S119">
        <f t="shared" si="10"/>
        <v>0</v>
      </c>
      <c r="T119">
        <f t="shared" si="11"/>
        <v>0</v>
      </c>
    </row>
    <row r="120" spans="1:20" x14ac:dyDescent="0.3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O120">
        <f t="shared" si="6"/>
        <v>0</v>
      </c>
      <c r="P120">
        <f t="shared" si="7"/>
        <v>0</v>
      </c>
      <c r="Q120">
        <f t="shared" si="8"/>
        <v>0</v>
      </c>
      <c r="R120">
        <f t="shared" si="9"/>
        <v>1</v>
      </c>
      <c r="S120">
        <f t="shared" si="10"/>
        <v>0</v>
      </c>
      <c r="T120">
        <f t="shared" si="11"/>
        <v>0</v>
      </c>
    </row>
    <row r="121" spans="1:20" x14ac:dyDescent="0.3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O121">
        <f t="shared" si="6"/>
        <v>0</v>
      </c>
      <c r="P121">
        <f t="shared" si="7"/>
        <v>0</v>
      </c>
      <c r="Q121">
        <f t="shared" si="8"/>
        <v>0</v>
      </c>
      <c r="R121">
        <f t="shared" si="9"/>
        <v>1</v>
      </c>
      <c r="S121">
        <f t="shared" si="10"/>
        <v>0</v>
      </c>
      <c r="T121">
        <f t="shared" si="11"/>
        <v>0</v>
      </c>
    </row>
    <row r="122" spans="1:20" x14ac:dyDescent="0.3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O122">
        <f t="shared" si="6"/>
        <v>0</v>
      </c>
      <c r="P122">
        <f t="shared" si="7"/>
        <v>1</v>
      </c>
      <c r="Q122">
        <f t="shared" si="8"/>
        <v>0</v>
      </c>
      <c r="R122">
        <f t="shared" si="9"/>
        <v>0</v>
      </c>
      <c r="S122">
        <f t="shared" si="10"/>
        <v>1</v>
      </c>
      <c r="T122">
        <f t="shared" si="11"/>
        <v>0</v>
      </c>
    </row>
    <row r="123" spans="1:20" x14ac:dyDescent="0.3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O123">
        <f t="shared" si="6"/>
        <v>0</v>
      </c>
      <c r="P123">
        <f t="shared" si="7"/>
        <v>1</v>
      </c>
      <c r="Q123">
        <f t="shared" si="8"/>
        <v>0</v>
      </c>
      <c r="R123">
        <f t="shared" si="9"/>
        <v>0</v>
      </c>
      <c r="S123">
        <f t="shared" si="10"/>
        <v>1</v>
      </c>
      <c r="T123">
        <f t="shared" si="11"/>
        <v>0</v>
      </c>
    </row>
    <row r="124" spans="1:20" x14ac:dyDescent="0.3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O124">
        <f t="shared" si="6"/>
        <v>0</v>
      </c>
      <c r="P124">
        <f t="shared" si="7"/>
        <v>1</v>
      </c>
      <c r="Q124">
        <f t="shared" si="8"/>
        <v>0</v>
      </c>
      <c r="R124">
        <f t="shared" si="9"/>
        <v>0</v>
      </c>
      <c r="S124">
        <f t="shared" si="10"/>
        <v>1</v>
      </c>
      <c r="T124">
        <f t="shared" si="11"/>
        <v>0</v>
      </c>
    </row>
    <row r="125" spans="1:20" x14ac:dyDescent="0.3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O125">
        <f t="shared" si="6"/>
        <v>0</v>
      </c>
      <c r="P125">
        <f t="shared" si="7"/>
        <v>1</v>
      </c>
      <c r="Q125">
        <f t="shared" si="8"/>
        <v>0</v>
      </c>
      <c r="R125">
        <f t="shared" si="9"/>
        <v>0</v>
      </c>
      <c r="S125">
        <f t="shared" si="10"/>
        <v>1</v>
      </c>
      <c r="T125">
        <f t="shared" si="11"/>
        <v>0</v>
      </c>
    </row>
    <row r="126" spans="1:20" x14ac:dyDescent="0.3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O126">
        <f t="shared" si="6"/>
        <v>0</v>
      </c>
      <c r="P126">
        <f t="shared" si="7"/>
        <v>0</v>
      </c>
      <c r="Q126">
        <f t="shared" si="8"/>
        <v>1</v>
      </c>
      <c r="R126">
        <f t="shared" si="9"/>
        <v>0</v>
      </c>
      <c r="S126">
        <f t="shared" si="10"/>
        <v>1</v>
      </c>
      <c r="T126">
        <f t="shared" si="11"/>
        <v>0</v>
      </c>
    </row>
    <row r="127" spans="1:20" x14ac:dyDescent="0.3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O127">
        <f t="shared" si="6"/>
        <v>0</v>
      </c>
      <c r="P127">
        <f t="shared" si="7"/>
        <v>0</v>
      </c>
      <c r="Q127">
        <f t="shared" si="8"/>
        <v>1</v>
      </c>
      <c r="R127">
        <f t="shared" si="9"/>
        <v>0</v>
      </c>
      <c r="S127">
        <f t="shared" si="10"/>
        <v>1</v>
      </c>
      <c r="T127">
        <f t="shared" si="11"/>
        <v>0</v>
      </c>
    </row>
    <row r="128" spans="1:20" x14ac:dyDescent="0.3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O128">
        <f t="shared" si="6"/>
        <v>0</v>
      </c>
      <c r="P128">
        <f t="shared" si="7"/>
        <v>0</v>
      </c>
      <c r="Q128">
        <f t="shared" si="8"/>
        <v>1</v>
      </c>
      <c r="R128">
        <f t="shared" si="9"/>
        <v>0</v>
      </c>
      <c r="S128">
        <f t="shared" si="10"/>
        <v>1</v>
      </c>
      <c r="T128">
        <f t="shared" si="11"/>
        <v>0</v>
      </c>
    </row>
    <row r="129" spans="1:20" x14ac:dyDescent="0.3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O129">
        <f t="shared" si="6"/>
        <v>0</v>
      </c>
      <c r="P129">
        <f t="shared" si="7"/>
        <v>0</v>
      </c>
      <c r="Q129">
        <f t="shared" si="8"/>
        <v>1</v>
      </c>
      <c r="R129">
        <f t="shared" si="9"/>
        <v>0</v>
      </c>
      <c r="S129">
        <f t="shared" si="10"/>
        <v>1</v>
      </c>
      <c r="T129">
        <f t="shared" si="11"/>
        <v>0</v>
      </c>
    </row>
    <row r="130" spans="1:20" x14ac:dyDescent="0.3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O130">
        <f t="shared" si="6"/>
        <v>1</v>
      </c>
      <c r="P130">
        <f t="shared" si="7"/>
        <v>0</v>
      </c>
      <c r="Q130">
        <f t="shared" si="8"/>
        <v>0</v>
      </c>
      <c r="R130">
        <f t="shared" si="9"/>
        <v>0</v>
      </c>
      <c r="S130">
        <f t="shared" si="10"/>
        <v>1</v>
      </c>
      <c r="T130">
        <f t="shared" si="11"/>
        <v>0</v>
      </c>
    </row>
    <row r="131" spans="1:20" x14ac:dyDescent="0.3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O131">
        <f t="shared" ref="O131:O194" si="12">IF(C131="East",1,0)</f>
        <v>1</v>
      </c>
      <c r="P131">
        <f t="shared" ref="P131:P194" si="13">IF(C131="North",1,0)</f>
        <v>0</v>
      </c>
      <c r="Q131">
        <f t="shared" ref="Q131:Q194" si="14">IF(C131="South",1,0)</f>
        <v>0</v>
      </c>
      <c r="R131">
        <f t="shared" ref="R131:R194" si="15">IF(D131="Residential",1,0)</f>
        <v>0</v>
      </c>
      <c r="S131">
        <f t="shared" ref="S131:S194" si="16">IF(D131="High Street",1,0)</f>
        <v>1</v>
      </c>
      <c r="T131">
        <f t="shared" ref="T131:T194" si="17">IF(D131="Mall",1,0)</f>
        <v>0</v>
      </c>
    </row>
    <row r="132" spans="1:20" x14ac:dyDescent="0.3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O132">
        <f t="shared" si="12"/>
        <v>1</v>
      </c>
      <c r="P132">
        <f t="shared" si="13"/>
        <v>0</v>
      </c>
      <c r="Q132">
        <f t="shared" si="14"/>
        <v>0</v>
      </c>
      <c r="R132">
        <f t="shared" si="15"/>
        <v>0</v>
      </c>
      <c r="S132">
        <f t="shared" si="16"/>
        <v>1</v>
      </c>
      <c r="T132">
        <f t="shared" si="17"/>
        <v>0</v>
      </c>
    </row>
    <row r="133" spans="1:20" x14ac:dyDescent="0.3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O133">
        <f t="shared" si="12"/>
        <v>1</v>
      </c>
      <c r="P133">
        <f t="shared" si="13"/>
        <v>0</v>
      </c>
      <c r="Q133">
        <f t="shared" si="14"/>
        <v>0</v>
      </c>
      <c r="R133">
        <f t="shared" si="15"/>
        <v>0</v>
      </c>
      <c r="S133">
        <f t="shared" si="16"/>
        <v>1</v>
      </c>
      <c r="T133">
        <f t="shared" si="17"/>
        <v>0</v>
      </c>
    </row>
    <row r="134" spans="1:20" x14ac:dyDescent="0.3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O134">
        <f t="shared" si="12"/>
        <v>0</v>
      </c>
      <c r="P134">
        <f t="shared" si="13"/>
        <v>1</v>
      </c>
      <c r="Q134">
        <f t="shared" si="14"/>
        <v>0</v>
      </c>
      <c r="R134">
        <f t="shared" si="15"/>
        <v>0</v>
      </c>
      <c r="S134">
        <f t="shared" si="16"/>
        <v>1</v>
      </c>
      <c r="T134">
        <f t="shared" si="17"/>
        <v>0</v>
      </c>
    </row>
    <row r="135" spans="1:20" x14ac:dyDescent="0.3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3.92</v>
      </c>
      <c r="M135">
        <v>400831.65</v>
      </c>
      <c r="N135">
        <v>70979.31</v>
      </c>
      <c r="O135">
        <f t="shared" si="12"/>
        <v>0</v>
      </c>
      <c r="P135">
        <f t="shared" si="13"/>
        <v>1</v>
      </c>
      <c r="Q135">
        <f t="shared" si="14"/>
        <v>0</v>
      </c>
      <c r="R135">
        <f t="shared" si="15"/>
        <v>0</v>
      </c>
      <c r="S135">
        <f t="shared" si="16"/>
        <v>1</v>
      </c>
      <c r="T135">
        <f t="shared" si="17"/>
        <v>0</v>
      </c>
    </row>
    <row r="136" spans="1:20" x14ac:dyDescent="0.3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O136">
        <f t="shared" si="12"/>
        <v>0</v>
      </c>
      <c r="P136">
        <f t="shared" si="13"/>
        <v>1</v>
      </c>
      <c r="Q136">
        <f t="shared" si="14"/>
        <v>0</v>
      </c>
      <c r="R136">
        <f t="shared" si="15"/>
        <v>0</v>
      </c>
      <c r="S136">
        <f t="shared" si="16"/>
        <v>1</v>
      </c>
      <c r="T136">
        <f t="shared" si="17"/>
        <v>0</v>
      </c>
    </row>
    <row r="137" spans="1:20" x14ac:dyDescent="0.3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O137">
        <f t="shared" si="12"/>
        <v>0</v>
      </c>
      <c r="P137">
        <f t="shared" si="13"/>
        <v>1</v>
      </c>
      <c r="Q137">
        <f t="shared" si="14"/>
        <v>0</v>
      </c>
      <c r="R137">
        <f t="shared" si="15"/>
        <v>0</v>
      </c>
      <c r="S137">
        <f t="shared" si="16"/>
        <v>1</v>
      </c>
      <c r="T137">
        <f t="shared" si="17"/>
        <v>0</v>
      </c>
    </row>
    <row r="138" spans="1:20" x14ac:dyDescent="0.3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3.92</v>
      </c>
      <c r="M138">
        <v>633638.03</v>
      </c>
      <c r="N138">
        <v>99402.01</v>
      </c>
      <c r="O138">
        <f t="shared" si="12"/>
        <v>0</v>
      </c>
      <c r="P138">
        <f t="shared" si="13"/>
        <v>0</v>
      </c>
      <c r="Q138">
        <f t="shared" si="14"/>
        <v>1</v>
      </c>
      <c r="R138">
        <f t="shared" si="15"/>
        <v>1</v>
      </c>
      <c r="S138">
        <f t="shared" si="16"/>
        <v>0</v>
      </c>
      <c r="T138">
        <f t="shared" si="17"/>
        <v>0</v>
      </c>
    </row>
    <row r="139" spans="1:20" x14ac:dyDescent="0.3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O139">
        <f t="shared" si="12"/>
        <v>0</v>
      </c>
      <c r="P139">
        <f t="shared" si="13"/>
        <v>0</v>
      </c>
      <c r="Q139">
        <f t="shared" si="14"/>
        <v>1</v>
      </c>
      <c r="R139">
        <f t="shared" si="15"/>
        <v>1</v>
      </c>
      <c r="S139">
        <f t="shared" si="16"/>
        <v>0</v>
      </c>
      <c r="T139">
        <f t="shared" si="17"/>
        <v>0</v>
      </c>
    </row>
    <row r="140" spans="1:20" x14ac:dyDescent="0.3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O140">
        <f t="shared" si="12"/>
        <v>0</v>
      </c>
      <c r="P140">
        <f t="shared" si="13"/>
        <v>0</v>
      </c>
      <c r="Q140">
        <f t="shared" si="14"/>
        <v>1</v>
      </c>
      <c r="R140">
        <f t="shared" si="15"/>
        <v>1</v>
      </c>
      <c r="S140">
        <f t="shared" si="16"/>
        <v>0</v>
      </c>
      <c r="T140">
        <f t="shared" si="17"/>
        <v>0</v>
      </c>
    </row>
    <row r="141" spans="1:20" x14ac:dyDescent="0.3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O141">
        <f t="shared" si="12"/>
        <v>0</v>
      </c>
      <c r="P141">
        <f t="shared" si="13"/>
        <v>0</v>
      </c>
      <c r="Q141">
        <f t="shared" si="14"/>
        <v>1</v>
      </c>
      <c r="R141">
        <f t="shared" si="15"/>
        <v>1</v>
      </c>
      <c r="S141">
        <f t="shared" si="16"/>
        <v>0</v>
      </c>
      <c r="T141">
        <f t="shared" si="17"/>
        <v>0</v>
      </c>
    </row>
    <row r="142" spans="1:20" x14ac:dyDescent="0.3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O142">
        <f t="shared" si="12"/>
        <v>0</v>
      </c>
      <c r="P142">
        <f t="shared" si="13"/>
        <v>0</v>
      </c>
      <c r="Q142">
        <f t="shared" si="14"/>
        <v>0</v>
      </c>
      <c r="R142">
        <f t="shared" si="15"/>
        <v>0</v>
      </c>
      <c r="S142">
        <f t="shared" si="16"/>
        <v>1</v>
      </c>
      <c r="T142">
        <f t="shared" si="17"/>
        <v>0</v>
      </c>
    </row>
    <row r="143" spans="1:20" x14ac:dyDescent="0.3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O143">
        <f t="shared" si="12"/>
        <v>0</v>
      </c>
      <c r="P143">
        <f t="shared" si="13"/>
        <v>0</v>
      </c>
      <c r="Q143">
        <f t="shared" si="14"/>
        <v>0</v>
      </c>
      <c r="R143">
        <f t="shared" si="15"/>
        <v>0</v>
      </c>
      <c r="S143">
        <f t="shared" si="16"/>
        <v>1</v>
      </c>
      <c r="T143">
        <f t="shared" si="17"/>
        <v>0</v>
      </c>
    </row>
    <row r="144" spans="1:20" x14ac:dyDescent="0.3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O144">
        <f t="shared" si="12"/>
        <v>0</v>
      </c>
      <c r="P144">
        <f t="shared" si="13"/>
        <v>0</v>
      </c>
      <c r="Q144">
        <f t="shared" si="14"/>
        <v>0</v>
      </c>
      <c r="R144">
        <f t="shared" si="15"/>
        <v>0</v>
      </c>
      <c r="S144">
        <f t="shared" si="16"/>
        <v>1</v>
      </c>
      <c r="T144">
        <f t="shared" si="17"/>
        <v>0</v>
      </c>
    </row>
    <row r="145" spans="1:20" x14ac:dyDescent="0.3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O145">
        <f t="shared" si="12"/>
        <v>0</v>
      </c>
      <c r="P145">
        <f t="shared" si="13"/>
        <v>0</v>
      </c>
      <c r="Q145">
        <f t="shared" si="14"/>
        <v>0</v>
      </c>
      <c r="R145">
        <f t="shared" si="15"/>
        <v>0</v>
      </c>
      <c r="S145">
        <f t="shared" si="16"/>
        <v>1</v>
      </c>
      <c r="T145">
        <f t="shared" si="17"/>
        <v>0</v>
      </c>
    </row>
    <row r="146" spans="1:20" x14ac:dyDescent="0.3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O146">
        <f t="shared" si="12"/>
        <v>0</v>
      </c>
      <c r="P146">
        <f t="shared" si="13"/>
        <v>1</v>
      </c>
      <c r="Q146">
        <f t="shared" si="14"/>
        <v>0</v>
      </c>
      <c r="R146">
        <f t="shared" si="15"/>
        <v>1</v>
      </c>
      <c r="S146">
        <f t="shared" si="16"/>
        <v>0</v>
      </c>
      <c r="T146">
        <f t="shared" si="17"/>
        <v>0</v>
      </c>
    </row>
    <row r="147" spans="1:20" x14ac:dyDescent="0.3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O147">
        <f t="shared" si="12"/>
        <v>0</v>
      </c>
      <c r="P147">
        <f t="shared" si="13"/>
        <v>1</v>
      </c>
      <c r="Q147">
        <f t="shared" si="14"/>
        <v>0</v>
      </c>
      <c r="R147">
        <f t="shared" si="15"/>
        <v>1</v>
      </c>
      <c r="S147">
        <f t="shared" si="16"/>
        <v>0</v>
      </c>
      <c r="T147">
        <f t="shared" si="17"/>
        <v>0</v>
      </c>
    </row>
    <row r="148" spans="1:20" x14ac:dyDescent="0.3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O148">
        <f t="shared" si="12"/>
        <v>0</v>
      </c>
      <c r="P148">
        <f t="shared" si="13"/>
        <v>1</v>
      </c>
      <c r="Q148">
        <f t="shared" si="14"/>
        <v>0</v>
      </c>
      <c r="R148">
        <f t="shared" si="15"/>
        <v>1</v>
      </c>
      <c r="S148">
        <f t="shared" si="16"/>
        <v>0</v>
      </c>
      <c r="T148">
        <f t="shared" si="17"/>
        <v>0</v>
      </c>
    </row>
    <row r="149" spans="1:20" x14ac:dyDescent="0.3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O149">
        <f t="shared" si="12"/>
        <v>0</v>
      </c>
      <c r="P149">
        <f t="shared" si="13"/>
        <v>1</v>
      </c>
      <c r="Q149">
        <f t="shared" si="14"/>
        <v>0</v>
      </c>
      <c r="R149">
        <f t="shared" si="15"/>
        <v>1</v>
      </c>
      <c r="S149">
        <f t="shared" si="16"/>
        <v>0</v>
      </c>
      <c r="T149">
        <f t="shared" si="17"/>
        <v>0</v>
      </c>
    </row>
    <row r="150" spans="1:20" x14ac:dyDescent="0.3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O150">
        <f t="shared" si="12"/>
        <v>0</v>
      </c>
      <c r="P150">
        <f t="shared" si="13"/>
        <v>0</v>
      </c>
      <c r="Q150">
        <f t="shared" si="14"/>
        <v>1</v>
      </c>
      <c r="R150">
        <f t="shared" si="15"/>
        <v>0</v>
      </c>
      <c r="S150">
        <f t="shared" si="16"/>
        <v>0</v>
      </c>
      <c r="T150">
        <f t="shared" si="17"/>
        <v>1</v>
      </c>
    </row>
    <row r="151" spans="1:20" x14ac:dyDescent="0.3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O151">
        <f t="shared" si="12"/>
        <v>0</v>
      </c>
      <c r="P151">
        <f t="shared" si="13"/>
        <v>0</v>
      </c>
      <c r="Q151">
        <f t="shared" si="14"/>
        <v>1</v>
      </c>
      <c r="R151">
        <f t="shared" si="15"/>
        <v>0</v>
      </c>
      <c r="S151">
        <f t="shared" si="16"/>
        <v>0</v>
      </c>
      <c r="T151">
        <f t="shared" si="17"/>
        <v>1</v>
      </c>
    </row>
    <row r="152" spans="1:20" x14ac:dyDescent="0.3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O152">
        <f t="shared" si="12"/>
        <v>0</v>
      </c>
      <c r="P152">
        <f t="shared" si="13"/>
        <v>0</v>
      </c>
      <c r="Q152">
        <f t="shared" si="14"/>
        <v>1</v>
      </c>
      <c r="R152">
        <f t="shared" si="15"/>
        <v>0</v>
      </c>
      <c r="S152">
        <f t="shared" si="16"/>
        <v>0</v>
      </c>
      <c r="T152">
        <f t="shared" si="17"/>
        <v>1</v>
      </c>
    </row>
    <row r="153" spans="1:20" x14ac:dyDescent="0.3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O153">
        <f t="shared" si="12"/>
        <v>0</v>
      </c>
      <c r="P153">
        <f t="shared" si="13"/>
        <v>0</v>
      </c>
      <c r="Q153">
        <f t="shared" si="14"/>
        <v>1</v>
      </c>
      <c r="R153">
        <f t="shared" si="15"/>
        <v>0</v>
      </c>
      <c r="S153">
        <f t="shared" si="16"/>
        <v>0</v>
      </c>
      <c r="T153">
        <f t="shared" si="17"/>
        <v>1</v>
      </c>
    </row>
    <row r="154" spans="1:20" x14ac:dyDescent="0.3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O154">
        <f t="shared" si="12"/>
        <v>1</v>
      </c>
      <c r="P154">
        <f t="shared" si="13"/>
        <v>0</v>
      </c>
      <c r="Q154">
        <f t="shared" si="14"/>
        <v>0</v>
      </c>
      <c r="R154">
        <f t="shared" si="15"/>
        <v>0</v>
      </c>
      <c r="S154">
        <f t="shared" si="16"/>
        <v>1</v>
      </c>
      <c r="T154">
        <f t="shared" si="17"/>
        <v>0</v>
      </c>
    </row>
    <row r="155" spans="1:20" x14ac:dyDescent="0.3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O155">
        <f t="shared" si="12"/>
        <v>1</v>
      </c>
      <c r="P155">
        <f t="shared" si="13"/>
        <v>0</v>
      </c>
      <c r="Q155">
        <f t="shared" si="14"/>
        <v>0</v>
      </c>
      <c r="R155">
        <f t="shared" si="15"/>
        <v>0</v>
      </c>
      <c r="S155">
        <f t="shared" si="16"/>
        <v>1</v>
      </c>
      <c r="T155">
        <f t="shared" si="17"/>
        <v>0</v>
      </c>
    </row>
    <row r="156" spans="1:20" x14ac:dyDescent="0.3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O156">
        <f t="shared" si="12"/>
        <v>1</v>
      </c>
      <c r="P156">
        <f t="shared" si="13"/>
        <v>0</v>
      </c>
      <c r="Q156">
        <f t="shared" si="14"/>
        <v>0</v>
      </c>
      <c r="R156">
        <f t="shared" si="15"/>
        <v>0</v>
      </c>
      <c r="S156">
        <f t="shared" si="16"/>
        <v>1</v>
      </c>
      <c r="T156">
        <f t="shared" si="17"/>
        <v>0</v>
      </c>
    </row>
    <row r="157" spans="1:20" x14ac:dyDescent="0.3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O157">
        <f t="shared" si="12"/>
        <v>1</v>
      </c>
      <c r="P157">
        <f t="shared" si="13"/>
        <v>0</v>
      </c>
      <c r="Q157">
        <f t="shared" si="14"/>
        <v>0</v>
      </c>
      <c r="R157">
        <f t="shared" si="15"/>
        <v>0</v>
      </c>
      <c r="S157">
        <f t="shared" si="16"/>
        <v>1</v>
      </c>
      <c r="T157">
        <f t="shared" si="17"/>
        <v>0</v>
      </c>
    </row>
    <row r="158" spans="1:20" x14ac:dyDescent="0.3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O158">
        <f t="shared" si="12"/>
        <v>0</v>
      </c>
      <c r="P158">
        <f t="shared" si="13"/>
        <v>1</v>
      </c>
      <c r="Q158">
        <f t="shared" si="14"/>
        <v>0</v>
      </c>
      <c r="R158">
        <f t="shared" si="15"/>
        <v>0</v>
      </c>
      <c r="S158">
        <f t="shared" si="16"/>
        <v>0</v>
      </c>
      <c r="T158">
        <f t="shared" si="17"/>
        <v>1</v>
      </c>
    </row>
    <row r="159" spans="1:20" x14ac:dyDescent="0.3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O159">
        <f t="shared" si="12"/>
        <v>0</v>
      </c>
      <c r="P159">
        <f t="shared" si="13"/>
        <v>1</v>
      </c>
      <c r="Q159">
        <f t="shared" si="14"/>
        <v>0</v>
      </c>
      <c r="R159">
        <f t="shared" si="15"/>
        <v>0</v>
      </c>
      <c r="S159">
        <f t="shared" si="16"/>
        <v>0</v>
      </c>
      <c r="T159">
        <f t="shared" si="17"/>
        <v>1</v>
      </c>
    </row>
    <row r="160" spans="1:20" x14ac:dyDescent="0.3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O160">
        <f t="shared" si="12"/>
        <v>0</v>
      </c>
      <c r="P160">
        <f t="shared" si="13"/>
        <v>1</v>
      </c>
      <c r="Q160">
        <f t="shared" si="14"/>
        <v>0</v>
      </c>
      <c r="R160">
        <f t="shared" si="15"/>
        <v>0</v>
      </c>
      <c r="S160">
        <f t="shared" si="16"/>
        <v>0</v>
      </c>
      <c r="T160">
        <f t="shared" si="17"/>
        <v>1</v>
      </c>
    </row>
    <row r="161" spans="1:20" x14ac:dyDescent="0.3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O161">
        <f t="shared" si="12"/>
        <v>0</v>
      </c>
      <c r="P161">
        <f t="shared" si="13"/>
        <v>1</v>
      </c>
      <c r="Q161">
        <f t="shared" si="14"/>
        <v>0</v>
      </c>
      <c r="R161">
        <f t="shared" si="15"/>
        <v>0</v>
      </c>
      <c r="S161">
        <f t="shared" si="16"/>
        <v>0</v>
      </c>
      <c r="T161">
        <f t="shared" si="17"/>
        <v>1</v>
      </c>
    </row>
    <row r="162" spans="1:20" x14ac:dyDescent="0.3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O162">
        <f t="shared" si="12"/>
        <v>0</v>
      </c>
      <c r="P162">
        <f t="shared" si="13"/>
        <v>0</v>
      </c>
      <c r="Q162">
        <f t="shared" si="14"/>
        <v>1</v>
      </c>
      <c r="R162">
        <f t="shared" si="15"/>
        <v>0</v>
      </c>
      <c r="S162">
        <f t="shared" si="16"/>
        <v>1</v>
      </c>
      <c r="T162">
        <f t="shared" si="17"/>
        <v>0</v>
      </c>
    </row>
    <row r="163" spans="1:20" x14ac:dyDescent="0.3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O163">
        <f t="shared" si="12"/>
        <v>0</v>
      </c>
      <c r="P163">
        <f t="shared" si="13"/>
        <v>0</v>
      </c>
      <c r="Q163">
        <f t="shared" si="14"/>
        <v>1</v>
      </c>
      <c r="R163">
        <f t="shared" si="15"/>
        <v>0</v>
      </c>
      <c r="S163">
        <f t="shared" si="16"/>
        <v>1</v>
      </c>
      <c r="T163">
        <f t="shared" si="17"/>
        <v>0</v>
      </c>
    </row>
    <row r="164" spans="1:20" x14ac:dyDescent="0.3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4.55</v>
      </c>
      <c r="K164">
        <v>0</v>
      </c>
      <c r="L164">
        <v>4.2</v>
      </c>
      <c r="M164">
        <v>677096.71</v>
      </c>
      <c r="N164">
        <v>97174.11</v>
      </c>
      <c r="O164">
        <f t="shared" si="12"/>
        <v>0</v>
      </c>
      <c r="P164">
        <f t="shared" si="13"/>
        <v>0</v>
      </c>
      <c r="Q164">
        <f t="shared" si="14"/>
        <v>1</v>
      </c>
      <c r="R164">
        <f t="shared" si="15"/>
        <v>0</v>
      </c>
      <c r="S164">
        <f t="shared" si="16"/>
        <v>1</v>
      </c>
      <c r="T164">
        <f t="shared" si="17"/>
        <v>0</v>
      </c>
    </row>
    <row r="165" spans="1:20" x14ac:dyDescent="0.3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O165">
        <f t="shared" si="12"/>
        <v>0</v>
      </c>
      <c r="P165">
        <f t="shared" si="13"/>
        <v>0</v>
      </c>
      <c r="Q165">
        <f t="shared" si="14"/>
        <v>1</v>
      </c>
      <c r="R165">
        <f t="shared" si="15"/>
        <v>0</v>
      </c>
      <c r="S165">
        <f t="shared" si="16"/>
        <v>1</v>
      </c>
      <c r="T165">
        <f t="shared" si="17"/>
        <v>0</v>
      </c>
    </row>
    <row r="166" spans="1:20" x14ac:dyDescent="0.3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O166">
        <f t="shared" si="12"/>
        <v>0</v>
      </c>
      <c r="P166">
        <f t="shared" si="13"/>
        <v>1</v>
      </c>
      <c r="Q166">
        <f t="shared" si="14"/>
        <v>0</v>
      </c>
      <c r="R166">
        <f t="shared" si="15"/>
        <v>0</v>
      </c>
      <c r="S166">
        <f t="shared" si="16"/>
        <v>0</v>
      </c>
      <c r="T166">
        <f t="shared" si="17"/>
        <v>1</v>
      </c>
    </row>
    <row r="167" spans="1:20" x14ac:dyDescent="0.3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O167">
        <f t="shared" si="12"/>
        <v>0</v>
      </c>
      <c r="P167">
        <f t="shared" si="13"/>
        <v>1</v>
      </c>
      <c r="Q167">
        <f t="shared" si="14"/>
        <v>0</v>
      </c>
      <c r="R167">
        <f t="shared" si="15"/>
        <v>0</v>
      </c>
      <c r="S167">
        <f t="shared" si="16"/>
        <v>0</v>
      </c>
      <c r="T167">
        <f t="shared" si="17"/>
        <v>1</v>
      </c>
    </row>
    <row r="168" spans="1:20" x14ac:dyDescent="0.3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O168">
        <f t="shared" si="12"/>
        <v>0</v>
      </c>
      <c r="P168">
        <f t="shared" si="13"/>
        <v>1</v>
      </c>
      <c r="Q168">
        <f t="shared" si="14"/>
        <v>0</v>
      </c>
      <c r="R168">
        <f t="shared" si="15"/>
        <v>0</v>
      </c>
      <c r="S168">
        <f t="shared" si="16"/>
        <v>0</v>
      </c>
      <c r="T168">
        <f t="shared" si="17"/>
        <v>1</v>
      </c>
    </row>
    <row r="169" spans="1:20" x14ac:dyDescent="0.3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O169">
        <f t="shared" si="12"/>
        <v>0</v>
      </c>
      <c r="P169">
        <f t="shared" si="13"/>
        <v>1</v>
      </c>
      <c r="Q169">
        <f t="shared" si="14"/>
        <v>0</v>
      </c>
      <c r="R169">
        <f t="shared" si="15"/>
        <v>0</v>
      </c>
      <c r="S169">
        <f t="shared" si="16"/>
        <v>0</v>
      </c>
      <c r="T169">
        <f t="shared" si="17"/>
        <v>1</v>
      </c>
    </row>
    <row r="170" spans="1:20" x14ac:dyDescent="0.3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O170">
        <f t="shared" si="12"/>
        <v>1</v>
      </c>
      <c r="P170">
        <f t="shared" si="13"/>
        <v>0</v>
      </c>
      <c r="Q170">
        <f t="shared" si="14"/>
        <v>0</v>
      </c>
      <c r="R170">
        <f t="shared" si="15"/>
        <v>1</v>
      </c>
      <c r="S170">
        <f t="shared" si="16"/>
        <v>0</v>
      </c>
      <c r="T170">
        <f t="shared" si="17"/>
        <v>0</v>
      </c>
    </row>
    <row r="171" spans="1:20" x14ac:dyDescent="0.3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O171">
        <f t="shared" si="12"/>
        <v>1</v>
      </c>
      <c r="P171">
        <f t="shared" si="13"/>
        <v>0</v>
      </c>
      <c r="Q171">
        <f t="shared" si="14"/>
        <v>0</v>
      </c>
      <c r="R171">
        <f t="shared" si="15"/>
        <v>1</v>
      </c>
      <c r="S171">
        <f t="shared" si="16"/>
        <v>0</v>
      </c>
      <c r="T171">
        <f t="shared" si="17"/>
        <v>0</v>
      </c>
    </row>
    <row r="172" spans="1:20" x14ac:dyDescent="0.3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O172">
        <f t="shared" si="12"/>
        <v>1</v>
      </c>
      <c r="P172">
        <f t="shared" si="13"/>
        <v>0</v>
      </c>
      <c r="Q172">
        <f t="shared" si="14"/>
        <v>0</v>
      </c>
      <c r="R172">
        <f t="shared" si="15"/>
        <v>1</v>
      </c>
      <c r="S172">
        <f t="shared" si="16"/>
        <v>0</v>
      </c>
      <c r="T172">
        <f t="shared" si="17"/>
        <v>0</v>
      </c>
    </row>
    <row r="173" spans="1:20" x14ac:dyDescent="0.3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O173">
        <f t="shared" si="12"/>
        <v>1</v>
      </c>
      <c r="P173">
        <f t="shared" si="13"/>
        <v>0</v>
      </c>
      <c r="Q173">
        <f t="shared" si="14"/>
        <v>0</v>
      </c>
      <c r="R173">
        <f t="shared" si="15"/>
        <v>1</v>
      </c>
      <c r="S173">
        <f t="shared" si="16"/>
        <v>0</v>
      </c>
      <c r="T173">
        <f t="shared" si="17"/>
        <v>0</v>
      </c>
    </row>
    <row r="174" spans="1:20" x14ac:dyDescent="0.3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O174">
        <f t="shared" si="12"/>
        <v>1</v>
      </c>
      <c r="P174">
        <f t="shared" si="13"/>
        <v>0</v>
      </c>
      <c r="Q174">
        <f t="shared" si="14"/>
        <v>0</v>
      </c>
      <c r="R174">
        <f t="shared" si="15"/>
        <v>1</v>
      </c>
      <c r="S174">
        <f t="shared" si="16"/>
        <v>0</v>
      </c>
      <c r="T174">
        <f t="shared" si="17"/>
        <v>0</v>
      </c>
    </row>
    <row r="175" spans="1:20" x14ac:dyDescent="0.3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O175">
        <f t="shared" si="12"/>
        <v>1</v>
      </c>
      <c r="P175">
        <f t="shared" si="13"/>
        <v>0</v>
      </c>
      <c r="Q175">
        <f t="shared" si="14"/>
        <v>0</v>
      </c>
      <c r="R175">
        <f t="shared" si="15"/>
        <v>1</v>
      </c>
      <c r="S175">
        <f t="shared" si="16"/>
        <v>0</v>
      </c>
      <c r="T175">
        <f t="shared" si="17"/>
        <v>0</v>
      </c>
    </row>
    <row r="176" spans="1:20" x14ac:dyDescent="0.3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O176">
        <f t="shared" si="12"/>
        <v>1</v>
      </c>
      <c r="P176">
        <f t="shared" si="13"/>
        <v>0</v>
      </c>
      <c r="Q176">
        <f t="shared" si="14"/>
        <v>0</v>
      </c>
      <c r="R176">
        <f t="shared" si="15"/>
        <v>1</v>
      </c>
      <c r="S176">
        <f t="shared" si="16"/>
        <v>0</v>
      </c>
      <c r="T176">
        <f t="shared" si="17"/>
        <v>0</v>
      </c>
    </row>
    <row r="177" spans="1:20" x14ac:dyDescent="0.3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O177">
        <f t="shared" si="12"/>
        <v>1</v>
      </c>
      <c r="P177">
        <f t="shared" si="13"/>
        <v>0</v>
      </c>
      <c r="Q177">
        <f t="shared" si="14"/>
        <v>0</v>
      </c>
      <c r="R177">
        <f t="shared" si="15"/>
        <v>1</v>
      </c>
      <c r="S177">
        <f t="shared" si="16"/>
        <v>0</v>
      </c>
      <c r="T177">
        <f t="shared" si="17"/>
        <v>0</v>
      </c>
    </row>
    <row r="178" spans="1:20" x14ac:dyDescent="0.3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O178">
        <f t="shared" si="12"/>
        <v>0</v>
      </c>
      <c r="P178">
        <f t="shared" si="13"/>
        <v>0</v>
      </c>
      <c r="Q178">
        <f t="shared" si="14"/>
        <v>0</v>
      </c>
      <c r="R178">
        <f t="shared" si="15"/>
        <v>0</v>
      </c>
      <c r="S178">
        <f t="shared" si="16"/>
        <v>0</v>
      </c>
      <c r="T178">
        <f t="shared" si="17"/>
        <v>0</v>
      </c>
    </row>
    <row r="179" spans="1:20" x14ac:dyDescent="0.3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O179">
        <f t="shared" si="12"/>
        <v>0</v>
      </c>
      <c r="P179">
        <f t="shared" si="13"/>
        <v>0</v>
      </c>
      <c r="Q179">
        <f t="shared" si="14"/>
        <v>0</v>
      </c>
      <c r="R179">
        <f t="shared" si="15"/>
        <v>0</v>
      </c>
      <c r="S179">
        <f t="shared" si="16"/>
        <v>0</v>
      </c>
      <c r="T179">
        <f t="shared" si="17"/>
        <v>0</v>
      </c>
    </row>
    <row r="180" spans="1:20" x14ac:dyDescent="0.3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O180">
        <f t="shared" si="12"/>
        <v>0</v>
      </c>
      <c r="P180">
        <f t="shared" si="13"/>
        <v>0</v>
      </c>
      <c r="Q180">
        <f t="shared" si="14"/>
        <v>0</v>
      </c>
      <c r="R180">
        <f t="shared" si="15"/>
        <v>0</v>
      </c>
      <c r="S180">
        <f t="shared" si="16"/>
        <v>0</v>
      </c>
      <c r="T180">
        <f t="shared" si="17"/>
        <v>0</v>
      </c>
    </row>
    <row r="181" spans="1:20" x14ac:dyDescent="0.3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O181">
        <f t="shared" si="12"/>
        <v>0</v>
      </c>
      <c r="P181">
        <f t="shared" si="13"/>
        <v>0</v>
      </c>
      <c r="Q181">
        <f t="shared" si="14"/>
        <v>0</v>
      </c>
      <c r="R181">
        <f t="shared" si="15"/>
        <v>0</v>
      </c>
      <c r="S181">
        <f t="shared" si="16"/>
        <v>0</v>
      </c>
      <c r="T181">
        <f t="shared" si="17"/>
        <v>0</v>
      </c>
    </row>
    <row r="182" spans="1:20" x14ac:dyDescent="0.3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O182">
        <f t="shared" si="12"/>
        <v>0</v>
      </c>
      <c r="P182">
        <f t="shared" si="13"/>
        <v>0</v>
      </c>
      <c r="Q182">
        <f t="shared" si="14"/>
        <v>0</v>
      </c>
      <c r="R182">
        <f t="shared" si="15"/>
        <v>1</v>
      </c>
      <c r="S182">
        <f t="shared" si="16"/>
        <v>0</v>
      </c>
      <c r="T182">
        <f t="shared" si="17"/>
        <v>0</v>
      </c>
    </row>
    <row r="183" spans="1:20" x14ac:dyDescent="0.3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O183">
        <f t="shared" si="12"/>
        <v>0</v>
      </c>
      <c r="P183">
        <f t="shared" si="13"/>
        <v>0</v>
      </c>
      <c r="Q183">
        <f t="shared" si="14"/>
        <v>0</v>
      </c>
      <c r="R183">
        <f t="shared" si="15"/>
        <v>1</v>
      </c>
      <c r="S183">
        <f t="shared" si="16"/>
        <v>0</v>
      </c>
      <c r="T183">
        <f t="shared" si="17"/>
        <v>0</v>
      </c>
    </row>
    <row r="184" spans="1:20" x14ac:dyDescent="0.3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O184">
        <f t="shared" si="12"/>
        <v>0</v>
      </c>
      <c r="P184">
        <f t="shared" si="13"/>
        <v>0</v>
      </c>
      <c r="Q184">
        <f t="shared" si="14"/>
        <v>0</v>
      </c>
      <c r="R184">
        <f t="shared" si="15"/>
        <v>1</v>
      </c>
      <c r="S184">
        <f t="shared" si="16"/>
        <v>0</v>
      </c>
      <c r="T184">
        <f t="shared" si="17"/>
        <v>0</v>
      </c>
    </row>
    <row r="185" spans="1:20" x14ac:dyDescent="0.3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O185">
        <f t="shared" si="12"/>
        <v>0</v>
      </c>
      <c r="P185">
        <f t="shared" si="13"/>
        <v>0</v>
      </c>
      <c r="Q185">
        <f t="shared" si="14"/>
        <v>0</v>
      </c>
      <c r="R185">
        <f t="shared" si="15"/>
        <v>1</v>
      </c>
      <c r="S185">
        <f t="shared" si="16"/>
        <v>0</v>
      </c>
      <c r="T185">
        <f t="shared" si="17"/>
        <v>0</v>
      </c>
    </row>
    <row r="186" spans="1:20" x14ac:dyDescent="0.3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O186">
        <f t="shared" si="12"/>
        <v>0</v>
      </c>
      <c r="P186">
        <f t="shared" si="13"/>
        <v>1</v>
      </c>
      <c r="Q186">
        <f t="shared" si="14"/>
        <v>0</v>
      </c>
      <c r="R186">
        <f t="shared" si="15"/>
        <v>0</v>
      </c>
      <c r="S186">
        <f t="shared" si="16"/>
        <v>1</v>
      </c>
      <c r="T186">
        <f t="shared" si="17"/>
        <v>0</v>
      </c>
    </row>
    <row r="187" spans="1:20" x14ac:dyDescent="0.3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O187">
        <f t="shared" si="12"/>
        <v>0</v>
      </c>
      <c r="P187">
        <f t="shared" si="13"/>
        <v>1</v>
      </c>
      <c r="Q187">
        <f t="shared" si="14"/>
        <v>0</v>
      </c>
      <c r="R187">
        <f t="shared" si="15"/>
        <v>0</v>
      </c>
      <c r="S187">
        <f t="shared" si="16"/>
        <v>1</v>
      </c>
      <c r="T187">
        <f t="shared" si="17"/>
        <v>0</v>
      </c>
    </row>
    <row r="188" spans="1:20" x14ac:dyDescent="0.3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O188">
        <f t="shared" si="12"/>
        <v>0</v>
      </c>
      <c r="P188">
        <f t="shared" si="13"/>
        <v>1</v>
      </c>
      <c r="Q188">
        <f t="shared" si="14"/>
        <v>0</v>
      </c>
      <c r="R188">
        <f t="shared" si="15"/>
        <v>0</v>
      </c>
      <c r="S188">
        <f t="shared" si="16"/>
        <v>1</v>
      </c>
      <c r="T188">
        <f t="shared" si="17"/>
        <v>0</v>
      </c>
    </row>
    <row r="189" spans="1:20" x14ac:dyDescent="0.3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O189">
        <f t="shared" si="12"/>
        <v>0</v>
      </c>
      <c r="P189">
        <f t="shared" si="13"/>
        <v>1</v>
      </c>
      <c r="Q189">
        <f t="shared" si="14"/>
        <v>0</v>
      </c>
      <c r="R189">
        <f t="shared" si="15"/>
        <v>0</v>
      </c>
      <c r="S189">
        <f t="shared" si="16"/>
        <v>1</v>
      </c>
      <c r="T189">
        <f t="shared" si="17"/>
        <v>0</v>
      </c>
    </row>
    <row r="190" spans="1:20" x14ac:dyDescent="0.3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O190">
        <f t="shared" si="12"/>
        <v>1</v>
      </c>
      <c r="P190">
        <f t="shared" si="13"/>
        <v>0</v>
      </c>
      <c r="Q190">
        <f t="shared" si="14"/>
        <v>0</v>
      </c>
      <c r="R190">
        <f t="shared" si="15"/>
        <v>0</v>
      </c>
      <c r="S190">
        <f t="shared" si="16"/>
        <v>1</v>
      </c>
      <c r="T190">
        <f t="shared" si="17"/>
        <v>0</v>
      </c>
    </row>
    <row r="191" spans="1:20" x14ac:dyDescent="0.3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O191">
        <f t="shared" si="12"/>
        <v>1</v>
      </c>
      <c r="P191">
        <f t="shared" si="13"/>
        <v>0</v>
      </c>
      <c r="Q191">
        <f t="shared" si="14"/>
        <v>0</v>
      </c>
      <c r="R191">
        <f t="shared" si="15"/>
        <v>0</v>
      </c>
      <c r="S191">
        <f t="shared" si="16"/>
        <v>1</v>
      </c>
      <c r="T191">
        <f t="shared" si="17"/>
        <v>0</v>
      </c>
    </row>
    <row r="192" spans="1:20" x14ac:dyDescent="0.3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O192">
        <f t="shared" si="12"/>
        <v>1</v>
      </c>
      <c r="P192">
        <f t="shared" si="13"/>
        <v>0</v>
      </c>
      <c r="Q192">
        <f t="shared" si="14"/>
        <v>0</v>
      </c>
      <c r="R192">
        <f t="shared" si="15"/>
        <v>0</v>
      </c>
      <c r="S192">
        <f t="shared" si="16"/>
        <v>1</v>
      </c>
      <c r="T192">
        <f t="shared" si="17"/>
        <v>0</v>
      </c>
    </row>
    <row r="193" spans="1:20" x14ac:dyDescent="0.3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O193">
        <f t="shared" si="12"/>
        <v>1</v>
      </c>
      <c r="P193">
        <f t="shared" si="13"/>
        <v>0</v>
      </c>
      <c r="Q193">
        <f t="shared" si="14"/>
        <v>0</v>
      </c>
      <c r="R193">
        <f t="shared" si="15"/>
        <v>0</v>
      </c>
      <c r="S193">
        <f t="shared" si="16"/>
        <v>1</v>
      </c>
      <c r="T193">
        <f t="shared" si="17"/>
        <v>0</v>
      </c>
    </row>
    <row r="194" spans="1:20" x14ac:dyDescent="0.3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O194">
        <f t="shared" si="12"/>
        <v>0</v>
      </c>
      <c r="P194">
        <f t="shared" si="13"/>
        <v>0</v>
      </c>
      <c r="Q194">
        <f t="shared" si="14"/>
        <v>0</v>
      </c>
      <c r="R194">
        <f t="shared" si="15"/>
        <v>1</v>
      </c>
      <c r="S194">
        <f t="shared" si="16"/>
        <v>0</v>
      </c>
      <c r="T194">
        <f t="shared" si="17"/>
        <v>0</v>
      </c>
    </row>
    <row r="195" spans="1:20" x14ac:dyDescent="0.3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O195">
        <f t="shared" ref="O195:O258" si="18">IF(C195="East",1,0)</f>
        <v>0</v>
      </c>
      <c r="P195">
        <f t="shared" ref="P195:P258" si="19">IF(C195="North",1,0)</f>
        <v>0</v>
      </c>
      <c r="Q195">
        <f t="shared" ref="Q195:Q258" si="20">IF(C195="South",1,0)</f>
        <v>0</v>
      </c>
      <c r="R195">
        <f t="shared" ref="R195:R258" si="21">IF(D195="Residential",1,0)</f>
        <v>1</v>
      </c>
      <c r="S195">
        <f t="shared" ref="S195:S258" si="22">IF(D195="High Street",1,0)</f>
        <v>0</v>
      </c>
      <c r="T195">
        <f t="shared" ref="T195:T258" si="23">IF(D195="Mall",1,0)</f>
        <v>0</v>
      </c>
    </row>
    <row r="196" spans="1:20" x14ac:dyDescent="0.3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O196">
        <f t="shared" si="18"/>
        <v>0</v>
      </c>
      <c r="P196">
        <f t="shared" si="19"/>
        <v>0</v>
      </c>
      <c r="Q196">
        <f t="shared" si="20"/>
        <v>0</v>
      </c>
      <c r="R196">
        <f t="shared" si="21"/>
        <v>1</v>
      </c>
      <c r="S196">
        <f t="shared" si="22"/>
        <v>0</v>
      </c>
      <c r="T196">
        <f t="shared" si="23"/>
        <v>0</v>
      </c>
    </row>
    <row r="197" spans="1:20" x14ac:dyDescent="0.3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3.92</v>
      </c>
      <c r="M197">
        <v>449465.06</v>
      </c>
      <c r="N197">
        <v>65694.78</v>
      </c>
      <c r="O197">
        <f t="shared" si="18"/>
        <v>0</v>
      </c>
      <c r="P197">
        <f t="shared" si="19"/>
        <v>0</v>
      </c>
      <c r="Q197">
        <f t="shared" si="20"/>
        <v>0</v>
      </c>
      <c r="R197">
        <f t="shared" si="21"/>
        <v>1</v>
      </c>
      <c r="S197">
        <f t="shared" si="22"/>
        <v>0</v>
      </c>
      <c r="T197">
        <f t="shared" si="23"/>
        <v>0</v>
      </c>
    </row>
    <row r="198" spans="1:20" x14ac:dyDescent="0.3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O198">
        <f t="shared" si="18"/>
        <v>0</v>
      </c>
      <c r="P198">
        <f t="shared" si="19"/>
        <v>1</v>
      </c>
      <c r="Q198">
        <f t="shared" si="20"/>
        <v>0</v>
      </c>
      <c r="R198">
        <f t="shared" si="21"/>
        <v>1</v>
      </c>
      <c r="S198">
        <f t="shared" si="22"/>
        <v>0</v>
      </c>
      <c r="T198">
        <f t="shared" si="23"/>
        <v>0</v>
      </c>
    </row>
    <row r="199" spans="1:20" x14ac:dyDescent="0.3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O199">
        <f t="shared" si="18"/>
        <v>0</v>
      </c>
      <c r="P199">
        <f t="shared" si="19"/>
        <v>1</v>
      </c>
      <c r="Q199">
        <f t="shared" si="20"/>
        <v>0</v>
      </c>
      <c r="R199">
        <f t="shared" si="21"/>
        <v>1</v>
      </c>
      <c r="S199">
        <f t="shared" si="22"/>
        <v>0</v>
      </c>
      <c r="T199">
        <f t="shared" si="23"/>
        <v>0</v>
      </c>
    </row>
    <row r="200" spans="1:20" x14ac:dyDescent="0.3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O200">
        <f t="shared" si="18"/>
        <v>0</v>
      </c>
      <c r="P200">
        <f t="shared" si="19"/>
        <v>1</v>
      </c>
      <c r="Q200">
        <f t="shared" si="20"/>
        <v>0</v>
      </c>
      <c r="R200">
        <f t="shared" si="21"/>
        <v>1</v>
      </c>
      <c r="S200">
        <f t="shared" si="22"/>
        <v>0</v>
      </c>
      <c r="T200">
        <f t="shared" si="23"/>
        <v>0</v>
      </c>
    </row>
    <row r="201" spans="1:20" x14ac:dyDescent="0.3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O201">
        <f t="shared" si="18"/>
        <v>0</v>
      </c>
      <c r="P201">
        <f t="shared" si="19"/>
        <v>1</v>
      </c>
      <c r="Q201">
        <f t="shared" si="20"/>
        <v>0</v>
      </c>
      <c r="R201">
        <f t="shared" si="21"/>
        <v>1</v>
      </c>
      <c r="S201">
        <f t="shared" si="22"/>
        <v>0</v>
      </c>
      <c r="T201">
        <f t="shared" si="23"/>
        <v>0</v>
      </c>
    </row>
    <row r="202" spans="1:20" x14ac:dyDescent="0.3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O202">
        <f t="shared" si="18"/>
        <v>1</v>
      </c>
      <c r="P202">
        <f t="shared" si="19"/>
        <v>0</v>
      </c>
      <c r="Q202">
        <f t="shared" si="20"/>
        <v>0</v>
      </c>
      <c r="R202">
        <f t="shared" si="21"/>
        <v>0</v>
      </c>
      <c r="S202">
        <f t="shared" si="22"/>
        <v>0</v>
      </c>
      <c r="T202">
        <f t="shared" si="23"/>
        <v>0</v>
      </c>
    </row>
    <row r="203" spans="1:20" x14ac:dyDescent="0.3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O203">
        <f t="shared" si="18"/>
        <v>1</v>
      </c>
      <c r="P203">
        <f t="shared" si="19"/>
        <v>0</v>
      </c>
      <c r="Q203">
        <f t="shared" si="20"/>
        <v>0</v>
      </c>
      <c r="R203">
        <f t="shared" si="21"/>
        <v>0</v>
      </c>
      <c r="S203">
        <f t="shared" si="22"/>
        <v>0</v>
      </c>
      <c r="T203">
        <f t="shared" si="23"/>
        <v>0</v>
      </c>
    </row>
    <row r="204" spans="1:20" x14ac:dyDescent="0.3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O204">
        <f t="shared" si="18"/>
        <v>1</v>
      </c>
      <c r="P204">
        <f t="shared" si="19"/>
        <v>0</v>
      </c>
      <c r="Q204">
        <f t="shared" si="20"/>
        <v>0</v>
      </c>
      <c r="R204">
        <f t="shared" si="21"/>
        <v>0</v>
      </c>
      <c r="S204">
        <f t="shared" si="22"/>
        <v>0</v>
      </c>
      <c r="T204">
        <f t="shared" si="23"/>
        <v>0</v>
      </c>
    </row>
    <row r="205" spans="1:20" x14ac:dyDescent="0.3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O205">
        <f t="shared" si="18"/>
        <v>1</v>
      </c>
      <c r="P205">
        <f t="shared" si="19"/>
        <v>0</v>
      </c>
      <c r="Q205">
        <f t="shared" si="20"/>
        <v>0</v>
      </c>
      <c r="R205">
        <f t="shared" si="21"/>
        <v>0</v>
      </c>
      <c r="S205">
        <f t="shared" si="22"/>
        <v>0</v>
      </c>
      <c r="T205">
        <f t="shared" si="23"/>
        <v>0</v>
      </c>
    </row>
    <row r="206" spans="1:20" x14ac:dyDescent="0.3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O206">
        <f t="shared" si="18"/>
        <v>1</v>
      </c>
      <c r="P206">
        <f t="shared" si="19"/>
        <v>0</v>
      </c>
      <c r="Q206">
        <f t="shared" si="20"/>
        <v>0</v>
      </c>
      <c r="R206">
        <f t="shared" si="21"/>
        <v>0</v>
      </c>
      <c r="S206">
        <f t="shared" si="22"/>
        <v>0</v>
      </c>
      <c r="T206">
        <f t="shared" si="23"/>
        <v>1</v>
      </c>
    </row>
    <row r="207" spans="1:20" x14ac:dyDescent="0.3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O207">
        <f t="shared" si="18"/>
        <v>1</v>
      </c>
      <c r="P207">
        <f t="shared" si="19"/>
        <v>0</v>
      </c>
      <c r="Q207">
        <f t="shared" si="20"/>
        <v>0</v>
      </c>
      <c r="R207">
        <f t="shared" si="21"/>
        <v>0</v>
      </c>
      <c r="S207">
        <f t="shared" si="22"/>
        <v>0</v>
      </c>
      <c r="T207">
        <f t="shared" si="23"/>
        <v>1</v>
      </c>
    </row>
    <row r="208" spans="1:20" x14ac:dyDescent="0.3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O208">
        <f t="shared" si="18"/>
        <v>1</v>
      </c>
      <c r="P208">
        <f t="shared" si="19"/>
        <v>0</v>
      </c>
      <c r="Q208">
        <f t="shared" si="20"/>
        <v>0</v>
      </c>
      <c r="R208">
        <f t="shared" si="21"/>
        <v>0</v>
      </c>
      <c r="S208">
        <f t="shared" si="22"/>
        <v>0</v>
      </c>
      <c r="T208">
        <f t="shared" si="23"/>
        <v>1</v>
      </c>
    </row>
    <row r="209" spans="1:20" x14ac:dyDescent="0.3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O209">
        <f t="shared" si="18"/>
        <v>1</v>
      </c>
      <c r="P209">
        <f t="shared" si="19"/>
        <v>0</v>
      </c>
      <c r="Q209">
        <f t="shared" si="20"/>
        <v>0</v>
      </c>
      <c r="R209">
        <f t="shared" si="21"/>
        <v>0</v>
      </c>
      <c r="S209">
        <f t="shared" si="22"/>
        <v>0</v>
      </c>
      <c r="T209">
        <f t="shared" si="23"/>
        <v>1</v>
      </c>
    </row>
    <row r="210" spans="1:20" x14ac:dyDescent="0.3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O210">
        <f t="shared" si="18"/>
        <v>1</v>
      </c>
      <c r="P210">
        <f t="shared" si="19"/>
        <v>0</v>
      </c>
      <c r="Q210">
        <f t="shared" si="20"/>
        <v>0</v>
      </c>
      <c r="R210">
        <f t="shared" si="21"/>
        <v>0</v>
      </c>
      <c r="S210">
        <f t="shared" si="22"/>
        <v>1</v>
      </c>
      <c r="T210">
        <f t="shared" si="23"/>
        <v>0</v>
      </c>
    </row>
    <row r="211" spans="1:20" x14ac:dyDescent="0.3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O211">
        <f t="shared" si="18"/>
        <v>1</v>
      </c>
      <c r="P211">
        <f t="shared" si="19"/>
        <v>0</v>
      </c>
      <c r="Q211">
        <f t="shared" si="20"/>
        <v>0</v>
      </c>
      <c r="R211">
        <f t="shared" si="21"/>
        <v>0</v>
      </c>
      <c r="S211">
        <f t="shared" si="22"/>
        <v>1</v>
      </c>
      <c r="T211">
        <f t="shared" si="23"/>
        <v>0</v>
      </c>
    </row>
    <row r="212" spans="1:20" x14ac:dyDescent="0.3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O212">
        <f t="shared" si="18"/>
        <v>1</v>
      </c>
      <c r="P212">
        <f t="shared" si="19"/>
        <v>0</v>
      </c>
      <c r="Q212">
        <f t="shared" si="20"/>
        <v>0</v>
      </c>
      <c r="R212">
        <f t="shared" si="21"/>
        <v>0</v>
      </c>
      <c r="S212">
        <f t="shared" si="22"/>
        <v>1</v>
      </c>
      <c r="T212">
        <f t="shared" si="23"/>
        <v>0</v>
      </c>
    </row>
    <row r="213" spans="1:20" x14ac:dyDescent="0.3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O213">
        <f t="shared" si="18"/>
        <v>1</v>
      </c>
      <c r="P213">
        <f t="shared" si="19"/>
        <v>0</v>
      </c>
      <c r="Q213">
        <f t="shared" si="20"/>
        <v>0</v>
      </c>
      <c r="R213">
        <f t="shared" si="21"/>
        <v>0</v>
      </c>
      <c r="S213">
        <f t="shared" si="22"/>
        <v>1</v>
      </c>
      <c r="T213">
        <f t="shared" si="23"/>
        <v>0</v>
      </c>
    </row>
    <row r="214" spans="1:20" x14ac:dyDescent="0.3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O214">
        <f t="shared" si="18"/>
        <v>0</v>
      </c>
      <c r="P214">
        <f t="shared" si="19"/>
        <v>0</v>
      </c>
      <c r="Q214">
        <f t="shared" si="20"/>
        <v>0</v>
      </c>
      <c r="R214">
        <f t="shared" si="21"/>
        <v>1</v>
      </c>
      <c r="S214">
        <f t="shared" si="22"/>
        <v>0</v>
      </c>
      <c r="T214">
        <f t="shared" si="23"/>
        <v>0</v>
      </c>
    </row>
    <row r="215" spans="1:20" x14ac:dyDescent="0.3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O215">
        <f t="shared" si="18"/>
        <v>0</v>
      </c>
      <c r="P215">
        <f t="shared" si="19"/>
        <v>0</v>
      </c>
      <c r="Q215">
        <f t="shared" si="20"/>
        <v>0</v>
      </c>
      <c r="R215">
        <f t="shared" si="21"/>
        <v>1</v>
      </c>
      <c r="S215">
        <f t="shared" si="22"/>
        <v>0</v>
      </c>
      <c r="T215">
        <f t="shared" si="23"/>
        <v>0</v>
      </c>
    </row>
    <row r="216" spans="1:20" x14ac:dyDescent="0.3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O216">
        <f t="shared" si="18"/>
        <v>0</v>
      </c>
      <c r="P216">
        <f t="shared" si="19"/>
        <v>0</v>
      </c>
      <c r="Q216">
        <f t="shared" si="20"/>
        <v>0</v>
      </c>
      <c r="R216">
        <f t="shared" si="21"/>
        <v>1</v>
      </c>
      <c r="S216">
        <f t="shared" si="22"/>
        <v>0</v>
      </c>
      <c r="T216">
        <f t="shared" si="23"/>
        <v>0</v>
      </c>
    </row>
    <row r="217" spans="1:20" x14ac:dyDescent="0.3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O217">
        <f t="shared" si="18"/>
        <v>0</v>
      </c>
      <c r="P217">
        <f t="shared" si="19"/>
        <v>0</v>
      </c>
      <c r="Q217">
        <f t="shared" si="20"/>
        <v>0</v>
      </c>
      <c r="R217">
        <f t="shared" si="21"/>
        <v>1</v>
      </c>
      <c r="S217">
        <f t="shared" si="22"/>
        <v>0</v>
      </c>
      <c r="T217">
        <f t="shared" si="23"/>
        <v>0</v>
      </c>
    </row>
    <row r="218" spans="1:20" x14ac:dyDescent="0.3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O218">
        <f t="shared" si="18"/>
        <v>0</v>
      </c>
      <c r="P218">
        <f t="shared" si="19"/>
        <v>1</v>
      </c>
      <c r="Q218">
        <f t="shared" si="20"/>
        <v>0</v>
      </c>
      <c r="R218">
        <f t="shared" si="21"/>
        <v>0</v>
      </c>
      <c r="S218">
        <f t="shared" si="22"/>
        <v>0</v>
      </c>
      <c r="T218">
        <f t="shared" si="23"/>
        <v>0</v>
      </c>
    </row>
    <row r="219" spans="1:20" x14ac:dyDescent="0.3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O219">
        <f t="shared" si="18"/>
        <v>0</v>
      </c>
      <c r="P219">
        <f t="shared" si="19"/>
        <v>1</v>
      </c>
      <c r="Q219">
        <f t="shared" si="20"/>
        <v>0</v>
      </c>
      <c r="R219">
        <f t="shared" si="21"/>
        <v>0</v>
      </c>
      <c r="S219">
        <f t="shared" si="22"/>
        <v>0</v>
      </c>
      <c r="T219">
        <f t="shared" si="23"/>
        <v>0</v>
      </c>
    </row>
    <row r="220" spans="1:20" x14ac:dyDescent="0.3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O220">
        <f t="shared" si="18"/>
        <v>0</v>
      </c>
      <c r="P220">
        <f t="shared" si="19"/>
        <v>1</v>
      </c>
      <c r="Q220">
        <f t="shared" si="20"/>
        <v>0</v>
      </c>
      <c r="R220">
        <f t="shared" si="21"/>
        <v>0</v>
      </c>
      <c r="S220">
        <f t="shared" si="22"/>
        <v>0</v>
      </c>
      <c r="T220">
        <f t="shared" si="23"/>
        <v>0</v>
      </c>
    </row>
    <row r="221" spans="1:20" x14ac:dyDescent="0.3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O221">
        <f t="shared" si="18"/>
        <v>0</v>
      </c>
      <c r="P221">
        <f t="shared" si="19"/>
        <v>1</v>
      </c>
      <c r="Q221">
        <f t="shared" si="20"/>
        <v>0</v>
      </c>
      <c r="R221">
        <f t="shared" si="21"/>
        <v>0</v>
      </c>
      <c r="S221">
        <f t="shared" si="22"/>
        <v>0</v>
      </c>
      <c r="T221">
        <f t="shared" si="23"/>
        <v>0</v>
      </c>
    </row>
    <row r="222" spans="1:20" x14ac:dyDescent="0.3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O222">
        <f t="shared" si="18"/>
        <v>1</v>
      </c>
      <c r="P222">
        <f t="shared" si="19"/>
        <v>0</v>
      </c>
      <c r="Q222">
        <f t="shared" si="20"/>
        <v>0</v>
      </c>
      <c r="R222">
        <f t="shared" si="21"/>
        <v>0</v>
      </c>
      <c r="S222">
        <f t="shared" si="22"/>
        <v>1</v>
      </c>
      <c r="T222">
        <f t="shared" si="23"/>
        <v>0</v>
      </c>
    </row>
    <row r="223" spans="1:20" x14ac:dyDescent="0.3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O223">
        <f t="shared" si="18"/>
        <v>1</v>
      </c>
      <c r="P223">
        <f t="shared" si="19"/>
        <v>0</v>
      </c>
      <c r="Q223">
        <f t="shared" si="20"/>
        <v>0</v>
      </c>
      <c r="R223">
        <f t="shared" si="21"/>
        <v>0</v>
      </c>
      <c r="S223">
        <f t="shared" si="22"/>
        <v>1</v>
      </c>
      <c r="T223">
        <f t="shared" si="23"/>
        <v>0</v>
      </c>
    </row>
    <row r="224" spans="1:20" x14ac:dyDescent="0.3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O224">
        <f t="shared" si="18"/>
        <v>1</v>
      </c>
      <c r="P224">
        <f t="shared" si="19"/>
        <v>0</v>
      </c>
      <c r="Q224">
        <f t="shared" si="20"/>
        <v>0</v>
      </c>
      <c r="R224">
        <f t="shared" si="21"/>
        <v>0</v>
      </c>
      <c r="S224">
        <f t="shared" si="22"/>
        <v>1</v>
      </c>
      <c r="T224">
        <f t="shared" si="23"/>
        <v>0</v>
      </c>
    </row>
    <row r="225" spans="1:20" x14ac:dyDescent="0.3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O225">
        <f t="shared" si="18"/>
        <v>1</v>
      </c>
      <c r="P225">
        <f t="shared" si="19"/>
        <v>0</v>
      </c>
      <c r="Q225">
        <f t="shared" si="20"/>
        <v>0</v>
      </c>
      <c r="R225">
        <f t="shared" si="21"/>
        <v>0</v>
      </c>
      <c r="S225">
        <f t="shared" si="22"/>
        <v>1</v>
      </c>
      <c r="T225">
        <f t="shared" si="23"/>
        <v>0</v>
      </c>
    </row>
    <row r="226" spans="1:20" x14ac:dyDescent="0.3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O226">
        <f t="shared" si="18"/>
        <v>1</v>
      </c>
      <c r="P226">
        <f t="shared" si="19"/>
        <v>0</v>
      </c>
      <c r="Q226">
        <f t="shared" si="20"/>
        <v>0</v>
      </c>
      <c r="R226">
        <f t="shared" si="21"/>
        <v>0</v>
      </c>
      <c r="S226">
        <f t="shared" si="22"/>
        <v>0</v>
      </c>
      <c r="T226">
        <f t="shared" si="23"/>
        <v>1</v>
      </c>
    </row>
    <row r="227" spans="1:20" x14ac:dyDescent="0.3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O227">
        <f t="shared" si="18"/>
        <v>1</v>
      </c>
      <c r="P227">
        <f t="shared" si="19"/>
        <v>0</v>
      </c>
      <c r="Q227">
        <f t="shared" si="20"/>
        <v>0</v>
      </c>
      <c r="R227">
        <f t="shared" si="21"/>
        <v>0</v>
      </c>
      <c r="S227">
        <f t="shared" si="22"/>
        <v>0</v>
      </c>
      <c r="T227">
        <f t="shared" si="23"/>
        <v>1</v>
      </c>
    </row>
    <row r="228" spans="1:20" x14ac:dyDescent="0.3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O228">
        <f t="shared" si="18"/>
        <v>1</v>
      </c>
      <c r="P228">
        <f t="shared" si="19"/>
        <v>0</v>
      </c>
      <c r="Q228">
        <f t="shared" si="20"/>
        <v>0</v>
      </c>
      <c r="R228">
        <f t="shared" si="21"/>
        <v>0</v>
      </c>
      <c r="S228">
        <f t="shared" si="22"/>
        <v>0</v>
      </c>
      <c r="T228">
        <f t="shared" si="23"/>
        <v>1</v>
      </c>
    </row>
    <row r="229" spans="1:20" x14ac:dyDescent="0.3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3.92</v>
      </c>
      <c r="M229">
        <v>529598.93999999994</v>
      </c>
      <c r="N229">
        <v>84334.33</v>
      </c>
      <c r="O229">
        <f t="shared" si="18"/>
        <v>1</v>
      </c>
      <c r="P229">
        <f t="shared" si="19"/>
        <v>0</v>
      </c>
      <c r="Q229">
        <f t="shared" si="20"/>
        <v>0</v>
      </c>
      <c r="R229">
        <f t="shared" si="21"/>
        <v>0</v>
      </c>
      <c r="S229">
        <f t="shared" si="22"/>
        <v>0</v>
      </c>
      <c r="T229">
        <f t="shared" si="23"/>
        <v>1</v>
      </c>
    </row>
    <row r="230" spans="1:20" x14ac:dyDescent="0.3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O230">
        <f t="shared" si="18"/>
        <v>1</v>
      </c>
      <c r="P230">
        <f t="shared" si="19"/>
        <v>0</v>
      </c>
      <c r="Q230">
        <f t="shared" si="20"/>
        <v>0</v>
      </c>
      <c r="R230">
        <f t="shared" si="21"/>
        <v>0</v>
      </c>
      <c r="S230">
        <f t="shared" si="22"/>
        <v>1</v>
      </c>
      <c r="T230">
        <f t="shared" si="23"/>
        <v>0</v>
      </c>
    </row>
    <row r="231" spans="1:20" x14ac:dyDescent="0.3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O231">
        <f t="shared" si="18"/>
        <v>1</v>
      </c>
      <c r="P231">
        <f t="shared" si="19"/>
        <v>0</v>
      </c>
      <c r="Q231">
        <f t="shared" si="20"/>
        <v>0</v>
      </c>
      <c r="R231">
        <f t="shared" si="21"/>
        <v>0</v>
      </c>
      <c r="S231">
        <f t="shared" si="22"/>
        <v>1</v>
      </c>
      <c r="T231">
        <f t="shared" si="23"/>
        <v>0</v>
      </c>
    </row>
    <row r="232" spans="1:20" x14ac:dyDescent="0.3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O232">
        <f t="shared" si="18"/>
        <v>1</v>
      </c>
      <c r="P232">
        <f t="shared" si="19"/>
        <v>0</v>
      </c>
      <c r="Q232">
        <f t="shared" si="20"/>
        <v>0</v>
      </c>
      <c r="R232">
        <f t="shared" si="21"/>
        <v>0</v>
      </c>
      <c r="S232">
        <f t="shared" si="22"/>
        <v>1</v>
      </c>
      <c r="T232">
        <f t="shared" si="23"/>
        <v>0</v>
      </c>
    </row>
    <row r="233" spans="1:20" x14ac:dyDescent="0.3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4.55</v>
      </c>
      <c r="K233">
        <v>0</v>
      </c>
      <c r="L233">
        <v>3.7</v>
      </c>
      <c r="M233">
        <v>647512.85</v>
      </c>
      <c r="N233">
        <v>153835.57</v>
      </c>
      <c r="O233">
        <f t="shared" si="18"/>
        <v>1</v>
      </c>
      <c r="P233">
        <f t="shared" si="19"/>
        <v>0</v>
      </c>
      <c r="Q233">
        <f t="shared" si="20"/>
        <v>0</v>
      </c>
      <c r="R233">
        <f t="shared" si="21"/>
        <v>0</v>
      </c>
      <c r="S233">
        <f t="shared" si="22"/>
        <v>1</v>
      </c>
      <c r="T233">
        <f t="shared" si="23"/>
        <v>0</v>
      </c>
    </row>
    <row r="234" spans="1:20" x14ac:dyDescent="0.3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O234">
        <f t="shared" si="18"/>
        <v>0</v>
      </c>
      <c r="P234">
        <f t="shared" si="19"/>
        <v>0</v>
      </c>
      <c r="Q234">
        <f t="shared" si="20"/>
        <v>0</v>
      </c>
      <c r="R234">
        <f t="shared" si="21"/>
        <v>1</v>
      </c>
      <c r="S234">
        <f t="shared" si="22"/>
        <v>0</v>
      </c>
      <c r="T234">
        <f t="shared" si="23"/>
        <v>0</v>
      </c>
    </row>
    <row r="235" spans="1:20" x14ac:dyDescent="0.3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O235">
        <f t="shared" si="18"/>
        <v>0</v>
      </c>
      <c r="P235">
        <f t="shared" si="19"/>
        <v>0</v>
      </c>
      <c r="Q235">
        <f t="shared" si="20"/>
        <v>0</v>
      </c>
      <c r="R235">
        <f t="shared" si="21"/>
        <v>1</v>
      </c>
      <c r="S235">
        <f t="shared" si="22"/>
        <v>0</v>
      </c>
      <c r="T235">
        <f t="shared" si="23"/>
        <v>0</v>
      </c>
    </row>
    <row r="236" spans="1:20" x14ac:dyDescent="0.3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O236">
        <f t="shared" si="18"/>
        <v>0</v>
      </c>
      <c r="P236">
        <f t="shared" si="19"/>
        <v>0</v>
      </c>
      <c r="Q236">
        <f t="shared" si="20"/>
        <v>0</v>
      </c>
      <c r="R236">
        <f t="shared" si="21"/>
        <v>1</v>
      </c>
      <c r="S236">
        <f t="shared" si="22"/>
        <v>0</v>
      </c>
      <c r="T236">
        <f t="shared" si="23"/>
        <v>0</v>
      </c>
    </row>
    <row r="237" spans="1:20" x14ac:dyDescent="0.3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O237">
        <f t="shared" si="18"/>
        <v>0</v>
      </c>
      <c r="P237">
        <f t="shared" si="19"/>
        <v>0</v>
      </c>
      <c r="Q237">
        <f t="shared" si="20"/>
        <v>0</v>
      </c>
      <c r="R237">
        <f t="shared" si="21"/>
        <v>1</v>
      </c>
      <c r="S237">
        <f t="shared" si="22"/>
        <v>0</v>
      </c>
      <c r="T237">
        <f t="shared" si="23"/>
        <v>0</v>
      </c>
    </row>
    <row r="238" spans="1:20" x14ac:dyDescent="0.3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O238">
        <f t="shared" si="18"/>
        <v>0</v>
      </c>
      <c r="P238">
        <f t="shared" si="19"/>
        <v>0</v>
      </c>
      <c r="Q238">
        <f t="shared" si="20"/>
        <v>0</v>
      </c>
      <c r="R238">
        <f t="shared" si="21"/>
        <v>0</v>
      </c>
      <c r="S238">
        <f t="shared" si="22"/>
        <v>0</v>
      </c>
      <c r="T238">
        <f t="shared" si="23"/>
        <v>1</v>
      </c>
    </row>
    <row r="239" spans="1:20" x14ac:dyDescent="0.3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O239">
        <f t="shared" si="18"/>
        <v>0</v>
      </c>
      <c r="P239">
        <f t="shared" si="19"/>
        <v>0</v>
      </c>
      <c r="Q239">
        <f t="shared" si="20"/>
        <v>0</v>
      </c>
      <c r="R239">
        <f t="shared" si="21"/>
        <v>0</v>
      </c>
      <c r="S239">
        <f t="shared" si="22"/>
        <v>0</v>
      </c>
      <c r="T239">
        <f t="shared" si="23"/>
        <v>1</v>
      </c>
    </row>
    <row r="240" spans="1:20" x14ac:dyDescent="0.3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O240">
        <f t="shared" si="18"/>
        <v>0</v>
      </c>
      <c r="P240">
        <f t="shared" si="19"/>
        <v>0</v>
      </c>
      <c r="Q240">
        <f t="shared" si="20"/>
        <v>0</v>
      </c>
      <c r="R240">
        <f t="shared" si="21"/>
        <v>0</v>
      </c>
      <c r="S240">
        <f t="shared" si="22"/>
        <v>0</v>
      </c>
      <c r="T240">
        <f t="shared" si="23"/>
        <v>1</v>
      </c>
    </row>
    <row r="241" spans="1:20" x14ac:dyDescent="0.3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O241">
        <f t="shared" si="18"/>
        <v>0</v>
      </c>
      <c r="P241">
        <f t="shared" si="19"/>
        <v>0</v>
      </c>
      <c r="Q241">
        <f t="shared" si="20"/>
        <v>0</v>
      </c>
      <c r="R241">
        <f t="shared" si="21"/>
        <v>0</v>
      </c>
      <c r="S241">
        <f t="shared" si="22"/>
        <v>0</v>
      </c>
      <c r="T241">
        <f t="shared" si="23"/>
        <v>1</v>
      </c>
    </row>
    <row r="242" spans="1:20" x14ac:dyDescent="0.3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O242">
        <f t="shared" si="18"/>
        <v>0</v>
      </c>
      <c r="P242">
        <f t="shared" si="19"/>
        <v>0</v>
      </c>
      <c r="Q242">
        <f t="shared" si="20"/>
        <v>1</v>
      </c>
      <c r="R242">
        <f t="shared" si="21"/>
        <v>0</v>
      </c>
      <c r="S242">
        <f t="shared" si="22"/>
        <v>0</v>
      </c>
      <c r="T242">
        <f t="shared" si="23"/>
        <v>0</v>
      </c>
    </row>
    <row r="243" spans="1:20" x14ac:dyDescent="0.3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O243">
        <f t="shared" si="18"/>
        <v>0</v>
      </c>
      <c r="P243">
        <f t="shared" si="19"/>
        <v>0</v>
      </c>
      <c r="Q243">
        <f t="shared" si="20"/>
        <v>1</v>
      </c>
      <c r="R243">
        <f t="shared" si="21"/>
        <v>0</v>
      </c>
      <c r="S243">
        <f t="shared" si="22"/>
        <v>0</v>
      </c>
      <c r="T243">
        <f t="shared" si="23"/>
        <v>0</v>
      </c>
    </row>
    <row r="244" spans="1:20" x14ac:dyDescent="0.3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O244">
        <f t="shared" si="18"/>
        <v>0</v>
      </c>
      <c r="P244">
        <f t="shared" si="19"/>
        <v>0</v>
      </c>
      <c r="Q244">
        <f t="shared" si="20"/>
        <v>1</v>
      </c>
      <c r="R244">
        <f t="shared" si="21"/>
        <v>0</v>
      </c>
      <c r="S244">
        <f t="shared" si="22"/>
        <v>0</v>
      </c>
      <c r="T244">
        <f t="shared" si="23"/>
        <v>0</v>
      </c>
    </row>
    <row r="245" spans="1:20" x14ac:dyDescent="0.3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O245">
        <f t="shared" si="18"/>
        <v>0</v>
      </c>
      <c r="P245">
        <f t="shared" si="19"/>
        <v>0</v>
      </c>
      <c r="Q245">
        <f t="shared" si="20"/>
        <v>1</v>
      </c>
      <c r="R245">
        <f t="shared" si="21"/>
        <v>0</v>
      </c>
      <c r="S245">
        <f t="shared" si="22"/>
        <v>0</v>
      </c>
      <c r="T245">
        <f t="shared" si="23"/>
        <v>0</v>
      </c>
    </row>
    <row r="246" spans="1:20" x14ac:dyDescent="0.3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O246">
        <f t="shared" si="18"/>
        <v>1</v>
      </c>
      <c r="P246">
        <f t="shared" si="19"/>
        <v>0</v>
      </c>
      <c r="Q246">
        <f t="shared" si="20"/>
        <v>0</v>
      </c>
      <c r="R246">
        <f t="shared" si="21"/>
        <v>0</v>
      </c>
      <c r="S246">
        <f t="shared" si="22"/>
        <v>1</v>
      </c>
      <c r="T246">
        <f t="shared" si="23"/>
        <v>0</v>
      </c>
    </row>
    <row r="247" spans="1:20" x14ac:dyDescent="0.3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O247">
        <f t="shared" si="18"/>
        <v>1</v>
      </c>
      <c r="P247">
        <f t="shared" si="19"/>
        <v>0</v>
      </c>
      <c r="Q247">
        <f t="shared" si="20"/>
        <v>0</v>
      </c>
      <c r="R247">
        <f t="shared" si="21"/>
        <v>0</v>
      </c>
      <c r="S247">
        <f t="shared" si="22"/>
        <v>1</v>
      </c>
      <c r="T247">
        <f t="shared" si="23"/>
        <v>0</v>
      </c>
    </row>
    <row r="248" spans="1:20" x14ac:dyDescent="0.3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O248">
        <f t="shared" si="18"/>
        <v>1</v>
      </c>
      <c r="P248">
        <f t="shared" si="19"/>
        <v>0</v>
      </c>
      <c r="Q248">
        <f t="shared" si="20"/>
        <v>0</v>
      </c>
      <c r="R248">
        <f t="shared" si="21"/>
        <v>0</v>
      </c>
      <c r="S248">
        <f t="shared" si="22"/>
        <v>1</v>
      </c>
      <c r="T248">
        <f t="shared" si="23"/>
        <v>0</v>
      </c>
    </row>
    <row r="249" spans="1:20" x14ac:dyDescent="0.3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O249">
        <f t="shared" si="18"/>
        <v>1</v>
      </c>
      <c r="P249">
        <f t="shared" si="19"/>
        <v>0</v>
      </c>
      <c r="Q249">
        <f t="shared" si="20"/>
        <v>0</v>
      </c>
      <c r="R249">
        <f t="shared" si="21"/>
        <v>0</v>
      </c>
      <c r="S249">
        <f t="shared" si="22"/>
        <v>1</v>
      </c>
      <c r="T249">
        <f t="shared" si="23"/>
        <v>0</v>
      </c>
    </row>
    <row r="250" spans="1:20" x14ac:dyDescent="0.3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4.55</v>
      </c>
      <c r="K250">
        <v>0</v>
      </c>
      <c r="L250">
        <v>3.8</v>
      </c>
      <c r="M250">
        <v>606783.67000000004</v>
      </c>
      <c r="N250">
        <v>74515.87</v>
      </c>
      <c r="O250">
        <f t="shared" si="18"/>
        <v>0</v>
      </c>
      <c r="P250">
        <f t="shared" si="19"/>
        <v>1</v>
      </c>
      <c r="Q250">
        <f t="shared" si="20"/>
        <v>0</v>
      </c>
      <c r="R250">
        <f t="shared" si="21"/>
        <v>0</v>
      </c>
      <c r="S250">
        <f t="shared" si="22"/>
        <v>1</v>
      </c>
      <c r="T250">
        <f t="shared" si="23"/>
        <v>0</v>
      </c>
    </row>
    <row r="251" spans="1:20" x14ac:dyDescent="0.3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O251">
        <f t="shared" si="18"/>
        <v>0</v>
      </c>
      <c r="P251">
        <f t="shared" si="19"/>
        <v>1</v>
      </c>
      <c r="Q251">
        <f t="shared" si="20"/>
        <v>0</v>
      </c>
      <c r="R251">
        <f t="shared" si="21"/>
        <v>0</v>
      </c>
      <c r="S251">
        <f t="shared" si="22"/>
        <v>1</v>
      </c>
      <c r="T251">
        <f t="shared" si="23"/>
        <v>0</v>
      </c>
    </row>
    <row r="252" spans="1:20" x14ac:dyDescent="0.3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O252">
        <f t="shared" si="18"/>
        <v>0</v>
      </c>
      <c r="P252">
        <f t="shared" si="19"/>
        <v>1</v>
      </c>
      <c r="Q252">
        <f t="shared" si="20"/>
        <v>0</v>
      </c>
      <c r="R252">
        <f t="shared" si="21"/>
        <v>0</v>
      </c>
      <c r="S252">
        <f t="shared" si="22"/>
        <v>1</v>
      </c>
      <c r="T252">
        <f t="shared" si="23"/>
        <v>0</v>
      </c>
    </row>
    <row r="253" spans="1:20" x14ac:dyDescent="0.3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O253">
        <f t="shared" si="18"/>
        <v>0</v>
      </c>
      <c r="P253">
        <f t="shared" si="19"/>
        <v>1</v>
      </c>
      <c r="Q253">
        <f t="shared" si="20"/>
        <v>0</v>
      </c>
      <c r="R253">
        <f t="shared" si="21"/>
        <v>0</v>
      </c>
      <c r="S253">
        <f t="shared" si="22"/>
        <v>1</v>
      </c>
      <c r="T253">
        <f t="shared" si="23"/>
        <v>0</v>
      </c>
    </row>
    <row r="254" spans="1:20" x14ac:dyDescent="0.3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O254">
        <f t="shared" si="18"/>
        <v>0</v>
      </c>
      <c r="P254">
        <f t="shared" si="19"/>
        <v>0</v>
      </c>
      <c r="Q254">
        <f t="shared" si="20"/>
        <v>1</v>
      </c>
      <c r="R254">
        <f t="shared" si="21"/>
        <v>0</v>
      </c>
      <c r="S254">
        <f t="shared" si="22"/>
        <v>0</v>
      </c>
      <c r="T254">
        <f t="shared" si="23"/>
        <v>0</v>
      </c>
    </row>
    <row r="255" spans="1:20" x14ac:dyDescent="0.3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O255">
        <f t="shared" si="18"/>
        <v>0</v>
      </c>
      <c r="P255">
        <f t="shared" si="19"/>
        <v>0</v>
      </c>
      <c r="Q255">
        <f t="shared" si="20"/>
        <v>1</v>
      </c>
      <c r="R255">
        <f t="shared" si="21"/>
        <v>0</v>
      </c>
      <c r="S255">
        <f t="shared" si="22"/>
        <v>0</v>
      </c>
      <c r="T255">
        <f t="shared" si="23"/>
        <v>0</v>
      </c>
    </row>
    <row r="256" spans="1:20" x14ac:dyDescent="0.3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O256">
        <f t="shared" si="18"/>
        <v>0</v>
      </c>
      <c r="P256">
        <f t="shared" si="19"/>
        <v>0</v>
      </c>
      <c r="Q256">
        <f t="shared" si="20"/>
        <v>1</v>
      </c>
      <c r="R256">
        <f t="shared" si="21"/>
        <v>0</v>
      </c>
      <c r="S256">
        <f t="shared" si="22"/>
        <v>0</v>
      </c>
      <c r="T256">
        <f t="shared" si="23"/>
        <v>0</v>
      </c>
    </row>
    <row r="257" spans="1:20" x14ac:dyDescent="0.3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O257">
        <f t="shared" si="18"/>
        <v>0</v>
      </c>
      <c r="P257">
        <f t="shared" si="19"/>
        <v>0</v>
      </c>
      <c r="Q257">
        <f t="shared" si="20"/>
        <v>1</v>
      </c>
      <c r="R257">
        <f t="shared" si="21"/>
        <v>0</v>
      </c>
      <c r="S257">
        <f t="shared" si="22"/>
        <v>0</v>
      </c>
      <c r="T257">
        <f t="shared" si="23"/>
        <v>0</v>
      </c>
    </row>
    <row r="258" spans="1:20" x14ac:dyDescent="0.3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O258">
        <f t="shared" si="18"/>
        <v>0</v>
      </c>
      <c r="P258">
        <f t="shared" si="19"/>
        <v>0</v>
      </c>
      <c r="Q258">
        <f t="shared" si="20"/>
        <v>1</v>
      </c>
      <c r="R258">
        <f t="shared" si="21"/>
        <v>0</v>
      </c>
      <c r="S258">
        <f t="shared" si="22"/>
        <v>0</v>
      </c>
      <c r="T258">
        <f t="shared" si="23"/>
        <v>1</v>
      </c>
    </row>
    <row r="259" spans="1:20" x14ac:dyDescent="0.3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O259">
        <f t="shared" ref="O259:O321" si="24">IF(C259="East",1,0)</f>
        <v>0</v>
      </c>
      <c r="P259">
        <f t="shared" ref="P259:P321" si="25">IF(C259="North",1,0)</f>
        <v>0</v>
      </c>
      <c r="Q259">
        <f t="shared" ref="Q259:Q321" si="26">IF(C259="South",1,0)</f>
        <v>1</v>
      </c>
      <c r="R259">
        <f t="shared" ref="R259:R321" si="27">IF(D259="Residential",1,0)</f>
        <v>0</v>
      </c>
      <c r="S259">
        <f t="shared" ref="S259:S321" si="28">IF(D259="High Street",1,0)</f>
        <v>0</v>
      </c>
      <c r="T259">
        <f t="shared" ref="T259:T321" si="29">IF(D259="Mall",1,0)</f>
        <v>1</v>
      </c>
    </row>
    <row r="260" spans="1:20" x14ac:dyDescent="0.3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O260">
        <f t="shared" si="24"/>
        <v>0</v>
      </c>
      <c r="P260">
        <f t="shared" si="25"/>
        <v>0</v>
      </c>
      <c r="Q260">
        <f t="shared" si="26"/>
        <v>1</v>
      </c>
      <c r="R260">
        <f t="shared" si="27"/>
        <v>0</v>
      </c>
      <c r="S260">
        <f t="shared" si="28"/>
        <v>0</v>
      </c>
      <c r="T260">
        <f t="shared" si="29"/>
        <v>1</v>
      </c>
    </row>
    <row r="261" spans="1:20" x14ac:dyDescent="0.3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O261">
        <f t="shared" si="24"/>
        <v>0</v>
      </c>
      <c r="P261">
        <f t="shared" si="25"/>
        <v>0</v>
      </c>
      <c r="Q261">
        <f t="shared" si="26"/>
        <v>1</v>
      </c>
      <c r="R261">
        <f t="shared" si="27"/>
        <v>0</v>
      </c>
      <c r="S261">
        <f t="shared" si="28"/>
        <v>0</v>
      </c>
      <c r="T261">
        <f t="shared" si="29"/>
        <v>1</v>
      </c>
    </row>
    <row r="262" spans="1:20" x14ac:dyDescent="0.3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O262">
        <f t="shared" si="24"/>
        <v>0</v>
      </c>
      <c r="P262">
        <f t="shared" si="25"/>
        <v>0</v>
      </c>
      <c r="Q262">
        <f t="shared" si="26"/>
        <v>0</v>
      </c>
      <c r="R262">
        <f t="shared" si="27"/>
        <v>0</v>
      </c>
      <c r="S262">
        <f t="shared" si="28"/>
        <v>1</v>
      </c>
      <c r="T262">
        <f t="shared" si="29"/>
        <v>0</v>
      </c>
    </row>
    <row r="263" spans="1:20" x14ac:dyDescent="0.3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4.55</v>
      </c>
      <c r="K263">
        <v>0</v>
      </c>
      <c r="L263">
        <v>4.2</v>
      </c>
      <c r="M263">
        <v>605751.32999999996</v>
      </c>
      <c r="N263">
        <v>60685.53</v>
      </c>
      <c r="O263">
        <f t="shared" si="24"/>
        <v>0</v>
      </c>
      <c r="P263">
        <f t="shared" si="25"/>
        <v>0</v>
      </c>
      <c r="Q263">
        <f t="shared" si="26"/>
        <v>0</v>
      </c>
      <c r="R263">
        <f t="shared" si="27"/>
        <v>0</v>
      </c>
      <c r="S263">
        <f t="shared" si="28"/>
        <v>1</v>
      </c>
      <c r="T263">
        <f t="shared" si="29"/>
        <v>0</v>
      </c>
    </row>
    <row r="264" spans="1:20" x14ac:dyDescent="0.3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O264">
        <f t="shared" si="24"/>
        <v>0</v>
      </c>
      <c r="P264">
        <f t="shared" si="25"/>
        <v>0</v>
      </c>
      <c r="Q264">
        <f t="shared" si="26"/>
        <v>0</v>
      </c>
      <c r="R264">
        <f t="shared" si="27"/>
        <v>0</v>
      </c>
      <c r="S264">
        <f t="shared" si="28"/>
        <v>1</v>
      </c>
      <c r="T264">
        <f t="shared" si="29"/>
        <v>0</v>
      </c>
    </row>
    <row r="265" spans="1:20" x14ac:dyDescent="0.3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O265">
        <f t="shared" si="24"/>
        <v>0</v>
      </c>
      <c r="P265">
        <f t="shared" si="25"/>
        <v>0</v>
      </c>
      <c r="Q265">
        <f t="shared" si="26"/>
        <v>0</v>
      </c>
      <c r="R265">
        <f t="shared" si="27"/>
        <v>0</v>
      </c>
      <c r="S265">
        <f t="shared" si="28"/>
        <v>1</v>
      </c>
      <c r="T265">
        <f t="shared" si="29"/>
        <v>0</v>
      </c>
    </row>
    <row r="266" spans="1:20" x14ac:dyDescent="0.3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O266">
        <f t="shared" si="24"/>
        <v>1</v>
      </c>
      <c r="P266">
        <f t="shared" si="25"/>
        <v>0</v>
      </c>
      <c r="Q266">
        <f t="shared" si="26"/>
        <v>0</v>
      </c>
      <c r="R266">
        <f t="shared" si="27"/>
        <v>0</v>
      </c>
      <c r="S266">
        <f t="shared" si="28"/>
        <v>1</v>
      </c>
      <c r="T266">
        <f t="shared" si="29"/>
        <v>0</v>
      </c>
    </row>
    <row r="267" spans="1:20" x14ac:dyDescent="0.3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O267">
        <f t="shared" si="24"/>
        <v>1</v>
      </c>
      <c r="P267">
        <f t="shared" si="25"/>
        <v>0</v>
      </c>
      <c r="Q267">
        <f t="shared" si="26"/>
        <v>0</v>
      </c>
      <c r="R267">
        <f t="shared" si="27"/>
        <v>0</v>
      </c>
      <c r="S267">
        <f t="shared" si="28"/>
        <v>1</v>
      </c>
      <c r="T267">
        <f t="shared" si="29"/>
        <v>0</v>
      </c>
    </row>
    <row r="268" spans="1:20" x14ac:dyDescent="0.3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O268">
        <f t="shared" si="24"/>
        <v>1</v>
      </c>
      <c r="P268">
        <f t="shared" si="25"/>
        <v>0</v>
      </c>
      <c r="Q268">
        <f t="shared" si="26"/>
        <v>0</v>
      </c>
      <c r="R268">
        <f t="shared" si="27"/>
        <v>0</v>
      </c>
      <c r="S268">
        <f t="shared" si="28"/>
        <v>1</v>
      </c>
      <c r="T268">
        <f t="shared" si="29"/>
        <v>0</v>
      </c>
    </row>
    <row r="269" spans="1:20" x14ac:dyDescent="0.3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O269">
        <f t="shared" si="24"/>
        <v>1</v>
      </c>
      <c r="P269">
        <f t="shared" si="25"/>
        <v>0</v>
      </c>
      <c r="Q269">
        <f t="shared" si="26"/>
        <v>0</v>
      </c>
      <c r="R269">
        <f t="shared" si="27"/>
        <v>0</v>
      </c>
      <c r="S269">
        <f t="shared" si="28"/>
        <v>1</v>
      </c>
      <c r="T269">
        <f t="shared" si="29"/>
        <v>0</v>
      </c>
    </row>
    <row r="270" spans="1:20" x14ac:dyDescent="0.3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O270">
        <f t="shared" si="24"/>
        <v>1</v>
      </c>
      <c r="P270">
        <f t="shared" si="25"/>
        <v>0</v>
      </c>
      <c r="Q270">
        <f t="shared" si="26"/>
        <v>0</v>
      </c>
      <c r="R270">
        <f t="shared" si="27"/>
        <v>0</v>
      </c>
      <c r="S270">
        <f t="shared" si="28"/>
        <v>0</v>
      </c>
      <c r="T270">
        <f t="shared" si="29"/>
        <v>1</v>
      </c>
    </row>
    <row r="271" spans="1:20" x14ac:dyDescent="0.3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O271">
        <f t="shared" si="24"/>
        <v>1</v>
      </c>
      <c r="P271">
        <f t="shared" si="25"/>
        <v>0</v>
      </c>
      <c r="Q271">
        <f t="shared" si="26"/>
        <v>0</v>
      </c>
      <c r="R271">
        <f t="shared" si="27"/>
        <v>0</v>
      </c>
      <c r="S271">
        <f t="shared" si="28"/>
        <v>0</v>
      </c>
      <c r="T271">
        <f t="shared" si="29"/>
        <v>1</v>
      </c>
    </row>
    <row r="272" spans="1:20" x14ac:dyDescent="0.3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O272">
        <f t="shared" si="24"/>
        <v>1</v>
      </c>
      <c r="P272">
        <f t="shared" si="25"/>
        <v>0</v>
      </c>
      <c r="Q272">
        <f t="shared" si="26"/>
        <v>0</v>
      </c>
      <c r="R272">
        <f t="shared" si="27"/>
        <v>0</v>
      </c>
      <c r="S272">
        <f t="shared" si="28"/>
        <v>0</v>
      </c>
      <c r="T272">
        <f t="shared" si="29"/>
        <v>1</v>
      </c>
    </row>
    <row r="273" spans="1:20" x14ac:dyDescent="0.3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O273">
        <f t="shared" si="24"/>
        <v>1</v>
      </c>
      <c r="P273">
        <f t="shared" si="25"/>
        <v>0</v>
      </c>
      <c r="Q273">
        <f t="shared" si="26"/>
        <v>0</v>
      </c>
      <c r="R273">
        <f t="shared" si="27"/>
        <v>0</v>
      </c>
      <c r="S273">
        <f t="shared" si="28"/>
        <v>0</v>
      </c>
      <c r="T273">
        <f t="shared" si="29"/>
        <v>1</v>
      </c>
    </row>
    <row r="274" spans="1:20" x14ac:dyDescent="0.3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O274">
        <f t="shared" si="24"/>
        <v>0</v>
      </c>
      <c r="P274">
        <f t="shared" si="25"/>
        <v>0</v>
      </c>
      <c r="Q274">
        <f t="shared" si="26"/>
        <v>0</v>
      </c>
      <c r="R274">
        <f t="shared" si="27"/>
        <v>0</v>
      </c>
      <c r="S274">
        <f t="shared" si="28"/>
        <v>1</v>
      </c>
      <c r="T274">
        <f t="shared" si="29"/>
        <v>0</v>
      </c>
    </row>
    <row r="275" spans="1:20" x14ac:dyDescent="0.3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O275">
        <f t="shared" si="24"/>
        <v>0</v>
      </c>
      <c r="P275">
        <f t="shared" si="25"/>
        <v>0</v>
      </c>
      <c r="Q275">
        <f t="shared" si="26"/>
        <v>0</v>
      </c>
      <c r="R275">
        <f t="shared" si="27"/>
        <v>0</v>
      </c>
      <c r="S275">
        <f t="shared" si="28"/>
        <v>1</v>
      </c>
      <c r="T275">
        <f t="shared" si="29"/>
        <v>0</v>
      </c>
    </row>
    <row r="276" spans="1:20" x14ac:dyDescent="0.3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O276">
        <f t="shared" si="24"/>
        <v>0</v>
      </c>
      <c r="P276">
        <f t="shared" si="25"/>
        <v>0</v>
      </c>
      <c r="Q276">
        <f t="shared" si="26"/>
        <v>0</v>
      </c>
      <c r="R276">
        <f t="shared" si="27"/>
        <v>0</v>
      </c>
      <c r="S276">
        <f t="shared" si="28"/>
        <v>1</v>
      </c>
      <c r="T276">
        <f t="shared" si="29"/>
        <v>0</v>
      </c>
    </row>
    <row r="277" spans="1:20" x14ac:dyDescent="0.3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O277">
        <f t="shared" si="24"/>
        <v>0</v>
      </c>
      <c r="P277">
        <f t="shared" si="25"/>
        <v>0</v>
      </c>
      <c r="Q277">
        <f t="shared" si="26"/>
        <v>0</v>
      </c>
      <c r="R277">
        <f t="shared" si="27"/>
        <v>0</v>
      </c>
      <c r="S277">
        <f t="shared" si="28"/>
        <v>1</v>
      </c>
      <c r="T277">
        <f t="shared" si="29"/>
        <v>0</v>
      </c>
    </row>
    <row r="278" spans="1:20" x14ac:dyDescent="0.3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O278">
        <f t="shared" si="24"/>
        <v>0</v>
      </c>
      <c r="P278">
        <f t="shared" si="25"/>
        <v>0</v>
      </c>
      <c r="Q278">
        <f t="shared" si="26"/>
        <v>1</v>
      </c>
      <c r="R278">
        <f t="shared" si="27"/>
        <v>1</v>
      </c>
      <c r="S278">
        <f t="shared" si="28"/>
        <v>0</v>
      </c>
      <c r="T278">
        <f t="shared" si="29"/>
        <v>0</v>
      </c>
    </row>
    <row r="279" spans="1:20" x14ac:dyDescent="0.3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O279">
        <f t="shared" si="24"/>
        <v>0</v>
      </c>
      <c r="P279">
        <f t="shared" si="25"/>
        <v>0</v>
      </c>
      <c r="Q279">
        <f t="shared" si="26"/>
        <v>1</v>
      </c>
      <c r="R279">
        <f t="shared" si="27"/>
        <v>1</v>
      </c>
      <c r="S279">
        <f t="shared" si="28"/>
        <v>0</v>
      </c>
      <c r="T279">
        <f t="shared" si="29"/>
        <v>0</v>
      </c>
    </row>
    <row r="280" spans="1:20" x14ac:dyDescent="0.3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O280">
        <f t="shared" si="24"/>
        <v>0</v>
      </c>
      <c r="P280">
        <f t="shared" si="25"/>
        <v>0</v>
      </c>
      <c r="Q280">
        <f t="shared" si="26"/>
        <v>1</v>
      </c>
      <c r="R280">
        <f t="shared" si="27"/>
        <v>1</v>
      </c>
      <c r="S280">
        <f t="shared" si="28"/>
        <v>0</v>
      </c>
      <c r="T280">
        <f t="shared" si="29"/>
        <v>0</v>
      </c>
    </row>
    <row r="281" spans="1:20" x14ac:dyDescent="0.3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O281">
        <f t="shared" si="24"/>
        <v>0</v>
      </c>
      <c r="P281">
        <f t="shared" si="25"/>
        <v>0</v>
      </c>
      <c r="Q281">
        <f t="shared" si="26"/>
        <v>1</v>
      </c>
      <c r="R281">
        <f t="shared" si="27"/>
        <v>1</v>
      </c>
      <c r="S281">
        <f t="shared" si="28"/>
        <v>0</v>
      </c>
      <c r="T281">
        <f t="shared" si="29"/>
        <v>0</v>
      </c>
    </row>
    <row r="282" spans="1:20" x14ac:dyDescent="0.3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O282">
        <f t="shared" si="24"/>
        <v>0</v>
      </c>
      <c r="P282">
        <f t="shared" si="25"/>
        <v>0</v>
      </c>
      <c r="Q282">
        <f t="shared" si="26"/>
        <v>1</v>
      </c>
      <c r="R282">
        <f t="shared" si="27"/>
        <v>0</v>
      </c>
      <c r="S282">
        <f t="shared" si="28"/>
        <v>1</v>
      </c>
      <c r="T282">
        <f t="shared" si="29"/>
        <v>0</v>
      </c>
    </row>
    <row r="283" spans="1:20" x14ac:dyDescent="0.3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O283">
        <f t="shared" si="24"/>
        <v>0</v>
      </c>
      <c r="P283">
        <f t="shared" si="25"/>
        <v>0</v>
      </c>
      <c r="Q283">
        <f t="shared" si="26"/>
        <v>1</v>
      </c>
      <c r="R283">
        <f t="shared" si="27"/>
        <v>0</v>
      </c>
      <c r="S283">
        <f t="shared" si="28"/>
        <v>1</v>
      </c>
      <c r="T283">
        <f t="shared" si="29"/>
        <v>0</v>
      </c>
    </row>
    <row r="284" spans="1:20" x14ac:dyDescent="0.3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O284">
        <f t="shared" si="24"/>
        <v>0</v>
      </c>
      <c r="P284">
        <f t="shared" si="25"/>
        <v>0</v>
      </c>
      <c r="Q284">
        <f t="shared" si="26"/>
        <v>1</v>
      </c>
      <c r="R284">
        <f t="shared" si="27"/>
        <v>0</v>
      </c>
      <c r="S284">
        <f t="shared" si="28"/>
        <v>1</v>
      </c>
      <c r="T284">
        <f t="shared" si="29"/>
        <v>0</v>
      </c>
    </row>
    <row r="285" spans="1:20" x14ac:dyDescent="0.3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O285">
        <f t="shared" si="24"/>
        <v>0</v>
      </c>
      <c r="P285">
        <f t="shared" si="25"/>
        <v>0</v>
      </c>
      <c r="Q285">
        <f t="shared" si="26"/>
        <v>1</v>
      </c>
      <c r="R285">
        <f t="shared" si="27"/>
        <v>0</v>
      </c>
      <c r="S285">
        <f t="shared" si="28"/>
        <v>1</v>
      </c>
      <c r="T285">
        <f t="shared" si="29"/>
        <v>0</v>
      </c>
    </row>
    <row r="286" spans="1:20" x14ac:dyDescent="0.3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O286">
        <f t="shared" si="24"/>
        <v>0</v>
      </c>
      <c r="P286">
        <f t="shared" si="25"/>
        <v>0</v>
      </c>
      <c r="Q286">
        <f t="shared" si="26"/>
        <v>0</v>
      </c>
      <c r="R286">
        <f t="shared" si="27"/>
        <v>1</v>
      </c>
      <c r="S286">
        <f t="shared" si="28"/>
        <v>0</v>
      </c>
      <c r="T286">
        <f t="shared" si="29"/>
        <v>0</v>
      </c>
    </row>
    <row r="287" spans="1:20" x14ac:dyDescent="0.3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O287">
        <f t="shared" si="24"/>
        <v>0</v>
      </c>
      <c r="P287">
        <f t="shared" si="25"/>
        <v>0</v>
      </c>
      <c r="Q287">
        <f t="shared" si="26"/>
        <v>0</v>
      </c>
      <c r="R287">
        <f t="shared" si="27"/>
        <v>1</v>
      </c>
      <c r="S287">
        <f t="shared" si="28"/>
        <v>0</v>
      </c>
      <c r="T287">
        <f t="shared" si="29"/>
        <v>0</v>
      </c>
    </row>
    <row r="288" spans="1:20" x14ac:dyDescent="0.3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O288">
        <f t="shared" si="24"/>
        <v>0</v>
      </c>
      <c r="P288">
        <f t="shared" si="25"/>
        <v>0</v>
      </c>
      <c r="Q288">
        <f t="shared" si="26"/>
        <v>0</v>
      </c>
      <c r="R288">
        <f t="shared" si="27"/>
        <v>1</v>
      </c>
      <c r="S288">
        <f t="shared" si="28"/>
        <v>0</v>
      </c>
      <c r="T288">
        <f t="shared" si="29"/>
        <v>0</v>
      </c>
    </row>
    <row r="289" spans="1:20" x14ac:dyDescent="0.3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O289">
        <f t="shared" si="24"/>
        <v>0</v>
      </c>
      <c r="P289">
        <f t="shared" si="25"/>
        <v>0</v>
      </c>
      <c r="Q289">
        <f t="shared" si="26"/>
        <v>0</v>
      </c>
      <c r="R289">
        <f t="shared" si="27"/>
        <v>1</v>
      </c>
      <c r="S289">
        <f t="shared" si="28"/>
        <v>0</v>
      </c>
      <c r="T289">
        <f t="shared" si="29"/>
        <v>0</v>
      </c>
    </row>
    <row r="290" spans="1:20" x14ac:dyDescent="0.3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O290">
        <f t="shared" si="24"/>
        <v>1</v>
      </c>
      <c r="P290">
        <f t="shared" si="25"/>
        <v>0</v>
      </c>
      <c r="Q290">
        <f t="shared" si="26"/>
        <v>0</v>
      </c>
      <c r="R290">
        <f t="shared" si="27"/>
        <v>1</v>
      </c>
      <c r="S290">
        <f t="shared" si="28"/>
        <v>0</v>
      </c>
      <c r="T290">
        <f t="shared" si="29"/>
        <v>0</v>
      </c>
    </row>
    <row r="291" spans="1:20" x14ac:dyDescent="0.3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O291">
        <f t="shared" si="24"/>
        <v>1</v>
      </c>
      <c r="P291">
        <f t="shared" si="25"/>
        <v>0</v>
      </c>
      <c r="Q291">
        <f t="shared" si="26"/>
        <v>0</v>
      </c>
      <c r="R291">
        <f t="shared" si="27"/>
        <v>1</v>
      </c>
      <c r="S291">
        <f t="shared" si="28"/>
        <v>0</v>
      </c>
      <c r="T291">
        <f t="shared" si="29"/>
        <v>0</v>
      </c>
    </row>
    <row r="292" spans="1:20" x14ac:dyDescent="0.3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O292">
        <f t="shared" si="24"/>
        <v>1</v>
      </c>
      <c r="P292">
        <f t="shared" si="25"/>
        <v>0</v>
      </c>
      <c r="Q292">
        <f t="shared" si="26"/>
        <v>0</v>
      </c>
      <c r="R292">
        <f t="shared" si="27"/>
        <v>1</v>
      </c>
      <c r="S292">
        <f t="shared" si="28"/>
        <v>0</v>
      </c>
      <c r="T292">
        <f t="shared" si="29"/>
        <v>0</v>
      </c>
    </row>
    <row r="293" spans="1:20" x14ac:dyDescent="0.3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O293">
        <f t="shared" si="24"/>
        <v>1</v>
      </c>
      <c r="P293">
        <f t="shared" si="25"/>
        <v>0</v>
      </c>
      <c r="Q293">
        <f t="shared" si="26"/>
        <v>0</v>
      </c>
      <c r="R293">
        <f t="shared" si="27"/>
        <v>1</v>
      </c>
      <c r="S293">
        <f t="shared" si="28"/>
        <v>0</v>
      </c>
      <c r="T293">
        <f t="shared" si="29"/>
        <v>0</v>
      </c>
    </row>
    <row r="294" spans="1:20" x14ac:dyDescent="0.3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O294">
        <f t="shared" si="24"/>
        <v>0</v>
      </c>
      <c r="P294">
        <f t="shared" si="25"/>
        <v>0</v>
      </c>
      <c r="Q294">
        <f t="shared" si="26"/>
        <v>0</v>
      </c>
      <c r="R294">
        <f t="shared" si="27"/>
        <v>0</v>
      </c>
      <c r="S294">
        <f t="shared" si="28"/>
        <v>1</v>
      </c>
      <c r="T294">
        <f t="shared" si="29"/>
        <v>0</v>
      </c>
    </row>
    <row r="295" spans="1:20" x14ac:dyDescent="0.3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O295">
        <f t="shared" si="24"/>
        <v>0</v>
      </c>
      <c r="P295">
        <f t="shared" si="25"/>
        <v>0</v>
      </c>
      <c r="Q295">
        <f t="shared" si="26"/>
        <v>0</v>
      </c>
      <c r="R295">
        <f t="shared" si="27"/>
        <v>0</v>
      </c>
      <c r="S295">
        <f t="shared" si="28"/>
        <v>1</v>
      </c>
      <c r="T295">
        <f t="shared" si="29"/>
        <v>0</v>
      </c>
    </row>
    <row r="296" spans="1:20" x14ac:dyDescent="0.3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O296">
        <f t="shared" si="24"/>
        <v>0</v>
      </c>
      <c r="P296">
        <f t="shared" si="25"/>
        <v>0</v>
      </c>
      <c r="Q296">
        <f t="shared" si="26"/>
        <v>0</v>
      </c>
      <c r="R296">
        <f t="shared" si="27"/>
        <v>0</v>
      </c>
      <c r="S296">
        <f t="shared" si="28"/>
        <v>1</v>
      </c>
      <c r="T296">
        <f t="shared" si="29"/>
        <v>0</v>
      </c>
    </row>
    <row r="297" spans="1:20" x14ac:dyDescent="0.3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O297">
        <f t="shared" si="24"/>
        <v>0</v>
      </c>
      <c r="P297">
        <f t="shared" si="25"/>
        <v>0</v>
      </c>
      <c r="Q297">
        <f t="shared" si="26"/>
        <v>0</v>
      </c>
      <c r="R297">
        <f t="shared" si="27"/>
        <v>0</v>
      </c>
      <c r="S297">
        <f t="shared" si="28"/>
        <v>1</v>
      </c>
      <c r="T297">
        <f t="shared" si="29"/>
        <v>0</v>
      </c>
    </row>
    <row r="298" spans="1:20" x14ac:dyDescent="0.3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O298">
        <f t="shared" si="24"/>
        <v>0</v>
      </c>
      <c r="P298">
        <f t="shared" si="25"/>
        <v>0</v>
      </c>
      <c r="Q298">
        <f t="shared" si="26"/>
        <v>0</v>
      </c>
      <c r="R298">
        <f t="shared" si="27"/>
        <v>0</v>
      </c>
      <c r="S298">
        <f t="shared" si="28"/>
        <v>1</v>
      </c>
      <c r="T298">
        <f t="shared" si="29"/>
        <v>0</v>
      </c>
    </row>
    <row r="299" spans="1:20" x14ac:dyDescent="0.3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O299">
        <f t="shared" si="24"/>
        <v>0</v>
      </c>
      <c r="P299">
        <f t="shared" si="25"/>
        <v>0</v>
      </c>
      <c r="Q299">
        <f t="shared" si="26"/>
        <v>0</v>
      </c>
      <c r="R299">
        <f t="shared" si="27"/>
        <v>0</v>
      </c>
      <c r="S299">
        <f t="shared" si="28"/>
        <v>1</v>
      </c>
      <c r="T299">
        <f t="shared" si="29"/>
        <v>0</v>
      </c>
    </row>
    <row r="300" spans="1:20" x14ac:dyDescent="0.3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O300">
        <f t="shared" si="24"/>
        <v>0</v>
      </c>
      <c r="P300">
        <f t="shared" si="25"/>
        <v>0</v>
      </c>
      <c r="Q300">
        <f t="shared" si="26"/>
        <v>0</v>
      </c>
      <c r="R300">
        <f t="shared" si="27"/>
        <v>0</v>
      </c>
      <c r="S300">
        <f t="shared" si="28"/>
        <v>1</v>
      </c>
      <c r="T300">
        <f t="shared" si="29"/>
        <v>0</v>
      </c>
    </row>
    <row r="301" spans="1:20" x14ac:dyDescent="0.3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O301">
        <f t="shared" si="24"/>
        <v>0</v>
      </c>
      <c r="P301">
        <f t="shared" si="25"/>
        <v>0</v>
      </c>
      <c r="Q301">
        <f t="shared" si="26"/>
        <v>0</v>
      </c>
      <c r="R301">
        <f t="shared" si="27"/>
        <v>0</v>
      </c>
      <c r="S301">
        <f t="shared" si="28"/>
        <v>1</v>
      </c>
      <c r="T301">
        <f t="shared" si="29"/>
        <v>0</v>
      </c>
    </row>
    <row r="302" spans="1:20" x14ac:dyDescent="0.3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O302">
        <f t="shared" si="24"/>
        <v>0</v>
      </c>
      <c r="P302">
        <f t="shared" si="25"/>
        <v>1</v>
      </c>
      <c r="Q302">
        <f t="shared" si="26"/>
        <v>0</v>
      </c>
      <c r="R302">
        <f t="shared" si="27"/>
        <v>0</v>
      </c>
      <c r="S302">
        <f t="shared" si="28"/>
        <v>0</v>
      </c>
      <c r="T302">
        <f t="shared" si="29"/>
        <v>1</v>
      </c>
    </row>
    <row r="303" spans="1:20" x14ac:dyDescent="0.3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O303">
        <f t="shared" si="24"/>
        <v>0</v>
      </c>
      <c r="P303">
        <f t="shared" si="25"/>
        <v>1</v>
      </c>
      <c r="Q303">
        <f t="shared" si="26"/>
        <v>0</v>
      </c>
      <c r="R303">
        <f t="shared" si="27"/>
        <v>0</v>
      </c>
      <c r="S303">
        <f t="shared" si="28"/>
        <v>0</v>
      </c>
      <c r="T303">
        <f t="shared" si="29"/>
        <v>1</v>
      </c>
    </row>
    <row r="304" spans="1:20" x14ac:dyDescent="0.3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O304">
        <f t="shared" si="24"/>
        <v>0</v>
      </c>
      <c r="P304">
        <f t="shared" si="25"/>
        <v>1</v>
      </c>
      <c r="Q304">
        <f t="shared" si="26"/>
        <v>0</v>
      </c>
      <c r="R304">
        <f t="shared" si="27"/>
        <v>0</v>
      </c>
      <c r="S304">
        <f t="shared" si="28"/>
        <v>0</v>
      </c>
      <c r="T304">
        <f t="shared" si="29"/>
        <v>1</v>
      </c>
    </row>
    <row r="305" spans="1:20" x14ac:dyDescent="0.3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O305">
        <f t="shared" si="24"/>
        <v>0</v>
      </c>
      <c r="P305">
        <f t="shared" si="25"/>
        <v>1</v>
      </c>
      <c r="Q305">
        <f t="shared" si="26"/>
        <v>0</v>
      </c>
      <c r="R305">
        <f t="shared" si="27"/>
        <v>0</v>
      </c>
      <c r="S305">
        <f t="shared" si="28"/>
        <v>0</v>
      </c>
      <c r="T305">
        <f t="shared" si="29"/>
        <v>1</v>
      </c>
    </row>
    <row r="306" spans="1:20" x14ac:dyDescent="0.3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O306">
        <f t="shared" si="24"/>
        <v>0</v>
      </c>
      <c r="P306">
        <f t="shared" si="25"/>
        <v>0</v>
      </c>
      <c r="Q306">
        <f t="shared" si="26"/>
        <v>1</v>
      </c>
      <c r="R306">
        <f t="shared" si="27"/>
        <v>1</v>
      </c>
      <c r="S306">
        <f t="shared" si="28"/>
        <v>0</v>
      </c>
      <c r="T306">
        <f t="shared" si="29"/>
        <v>0</v>
      </c>
    </row>
    <row r="307" spans="1:20" x14ac:dyDescent="0.3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O307">
        <f t="shared" si="24"/>
        <v>0</v>
      </c>
      <c r="P307">
        <f t="shared" si="25"/>
        <v>0</v>
      </c>
      <c r="Q307">
        <f t="shared" si="26"/>
        <v>1</v>
      </c>
      <c r="R307">
        <f t="shared" si="27"/>
        <v>1</v>
      </c>
      <c r="S307">
        <f t="shared" si="28"/>
        <v>0</v>
      </c>
      <c r="T307">
        <f t="shared" si="29"/>
        <v>0</v>
      </c>
    </row>
    <row r="308" spans="1:20" x14ac:dyDescent="0.3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O308">
        <f t="shared" si="24"/>
        <v>0</v>
      </c>
      <c r="P308">
        <f t="shared" si="25"/>
        <v>0</v>
      </c>
      <c r="Q308">
        <f t="shared" si="26"/>
        <v>1</v>
      </c>
      <c r="R308">
        <f t="shared" si="27"/>
        <v>1</v>
      </c>
      <c r="S308">
        <f t="shared" si="28"/>
        <v>0</v>
      </c>
      <c r="T308">
        <f t="shared" si="29"/>
        <v>0</v>
      </c>
    </row>
    <row r="309" spans="1:20" x14ac:dyDescent="0.3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O309">
        <f t="shared" si="24"/>
        <v>0</v>
      </c>
      <c r="P309">
        <f t="shared" si="25"/>
        <v>0</v>
      </c>
      <c r="Q309">
        <f t="shared" si="26"/>
        <v>1</v>
      </c>
      <c r="R309">
        <f t="shared" si="27"/>
        <v>1</v>
      </c>
      <c r="S309">
        <f t="shared" si="28"/>
        <v>0</v>
      </c>
      <c r="T309">
        <f t="shared" si="29"/>
        <v>0</v>
      </c>
    </row>
    <row r="310" spans="1:20" x14ac:dyDescent="0.3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O310">
        <f t="shared" si="24"/>
        <v>0</v>
      </c>
      <c r="P310">
        <f t="shared" si="25"/>
        <v>0</v>
      </c>
      <c r="Q310">
        <f t="shared" si="26"/>
        <v>1</v>
      </c>
      <c r="R310">
        <f t="shared" si="27"/>
        <v>0</v>
      </c>
      <c r="S310">
        <f t="shared" si="28"/>
        <v>1</v>
      </c>
      <c r="T310">
        <f t="shared" si="29"/>
        <v>0</v>
      </c>
    </row>
    <row r="311" spans="1:20" x14ac:dyDescent="0.3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O311">
        <f t="shared" si="24"/>
        <v>0</v>
      </c>
      <c r="P311">
        <f t="shared" si="25"/>
        <v>0</v>
      </c>
      <c r="Q311">
        <f t="shared" si="26"/>
        <v>1</v>
      </c>
      <c r="R311">
        <f t="shared" si="27"/>
        <v>0</v>
      </c>
      <c r="S311">
        <f t="shared" si="28"/>
        <v>1</v>
      </c>
      <c r="T311">
        <f t="shared" si="29"/>
        <v>0</v>
      </c>
    </row>
    <row r="312" spans="1:20" x14ac:dyDescent="0.3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O312">
        <f t="shared" si="24"/>
        <v>0</v>
      </c>
      <c r="P312">
        <f t="shared" si="25"/>
        <v>0</v>
      </c>
      <c r="Q312">
        <f t="shared" si="26"/>
        <v>1</v>
      </c>
      <c r="R312">
        <f t="shared" si="27"/>
        <v>0</v>
      </c>
      <c r="S312">
        <f t="shared" si="28"/>
        <v>1</v>
      </c>
      <c r="T312">
        <f t="shared" si="29"/>
        <v>0</v>
      </c>
    </row>
    <row r="313" spans="1:20" x14ac:dyDescent="0.3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3.92</v>
      </c>
      <c r="M313">
        <v>771129.07</v>
      </c>
      <c r="N313">
        <v>116851.13</v>
      </c>
      <c r="O313">
        <f t="shared" si="24"/>
        <v>0</v>
      </c>
      <c r="P313">
        <f t="shared" si="25"/>
        <v>0</v>
      </c>
      <c r="Q313">
        <f t="shared" si="26"/>
        <v>1</v>
      </c>
      <c r="R313">
        <f t="shared" si="27"/>
        <v>0</v>
      </c>
      <c r="S313">
        <f t="shared" si="28"/>
        <v>1</v>
      </c>
      <c r="T313">
        <f t="shared" si="29"/>
        <v>0</v>
      </c>
    </row>
    <row r="314" spans="1:20" x14ac:dyDescent="0.3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O314">
        <f t="shared" si="24"/>
        <v>0</v>
      </c>
      <c r="P314">
        <f t="shared" si="25"/>
        <v>1</v>
      </c>
      <c r="Q314">
        <f t="shared" si="26"/>
        <v>0</v>
      </c>
      <c r="R314">
        <f t="shared" si="27"/>
        <v>1</v>
      </c>
      <c r="S314">
        <f t="shared" si="28"/>
        <v>0</v>
      </c>
      <c r="T314">
        <f t="shared" si="29"/>
        <v>0</v>
      </c>
    </row>
    <row r="315" spans="1:20" x14ac:dyDescent="0.3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3.92</v>
      </c>
      <c r="M315">
        <v>688368.46</v>
      </c>
      <c r="N315">
        <v>93588.42</v>
      </c>
      <c r="O315">
        <f t="shared" si="24"/>
        <v>0</v>
      </c>
      <c r="P315">
        <f t="shared" si="25"/>
        <v>1</v>
      </c>
      <c r="Q315">
        <f t="shared" si="26"/>
        <v>0</v>
      </c>
      <c r="R315">
        <f t="shared" si="27"/>
        <v>1</v>
      </c>
      <c r="S315">
        <f t="shared" si="28"/>
        <v>0</v>
      </c>
      <c r="T315">
        <f t="shared" si="29"/>
        <v>0</v>
      </c>
    </row>
    <row r="316" spans="1:20" x14ac:dyDescent="0.3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O316">
        <f t="shared" si="24"/>
        <v>0</v>
      </c>
      <c r="P316">
        <f t="shared" si="25"/>
        <v>1</v>
      </c>
      <c r="Q316">
        <f t="shared" si="26"/>
        <v>0</v>
      </c>
      <c r="R316">
        <f t="shared" si="27"/>
        <v>1</v>
      </c>
      <c r="S316">
        <f t="shared" si="28"/>
        <v>0</v>
      </c>
      <c r="T316">
        <f t="shared" si="29"/>
        <v>0</v>
      </c>
    </row>
    <row r="317" spans="1:20" x14ac:dyDescent="0.3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O317">
        <f t="shared" si="24"/>
        <v>0</v>
      </c>
      <c r="P317">
        <f t="shared" si="25"/>
        <v>1</v>
      </c>
      <c r="Q317">
        <f t="shared" si="26"/>
        <v>0</v>
      </c>
      <c r="R317">
        <f t="shared" si="27"/>
        <v>1</v>
      </c>
      <c r="S317">
        <f t="shared" si="28"/>
        <v>0</v>
      </c>
      <c r="T317">
        <f t="shared" si="29"/>
        <v>0</v>
      </c>
    </row>
    <row r="318" spans="1:20" x14ac:dyDescent="0.3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O318">
        <f t="shared" si="24"/>
        <v>1</v>
      </c>
      <c r="P318">
        <f t="shared" si="25"/>
        <v>0</v>
      </c>
      <c r="Q318">
        <f t="shared" si="26"/>
        <v>0</v>
      </c>
      <c r="R318">
        <f t="shared" si="27"/>
        <v>1</v>
      </c>
      <c r="S318">
        <f t="shared" si="28"/>
        <v>0</v>
      </c>
      <c r="T318">
        <f t="shared" si="29"/>
        <v>0</v>
      </c>
    </row>
    <row r="319" spans="1:20" x14ac:dyDescent="0.3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O319">
        <f t="shared" si="24"/>
        <v>1</v>
      </c>
      <c r="P319">
        <f t="shared" si="25"/>
        <v>0</v>
      </c>
      <c r="Q319">
        <f t="shared" si="26"/>
        <v>0</v>
      </c>
      <c r="R319">
        <f t="shared" si="27"/>
        <v>1</v>
      </c>
      <c r="S319">
        <f t="shared" si="28"/>
        <v>0</v>
      </c>
      <c r="T319">
        <f t="shared" si="29"/>
        <v>0</v>
      </c>
    </row>
    <row r="320" spans="1:20" x14ac:dyDescent="0.3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O320">
        <f t="shared" si="24"/>
        <v>1</v>
      </c>
      <c r="P320">
        <f t="shared" si="25"/>
        <v>0</v>
      </c>
      <c r="Q320">
        <f t="shared" si="26"/>
        <v>0</v>
      </c>
      <c r="R320">
        <f t="shared" si="27"/>
        <v>1</v>
      </c>
      <c r="S320">
        <f t="shared" si="28"/>
        <v>0</v>
      </c>
      <c r="T320">
        <f t="shared" si="29"/>
        <v>0</v>
      </c>
    </row>
    <row r="321" spans="1:20" x14ac:dyDescent="0.3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O321">
        <f t="shared" si="24"/>
        <v>1</v>
      </c>
      <c r="P321">
        <f t="shared" si="25"/>
        <v>0</v>
      </c>
      <c r="Q321">
        <f t="shared" si="26"/>
        <v>0</v>
      </c>
      <c r="R321">
        <f t="shared" si="27"/>
        <v>1</v>
      </c>
      <c r="S321">
        <f t="shared" si="28"/>
        <v>0</v>
      </c>
      <c r="T321">
        <f t="shared" si="2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84C19-D330-427F-B07D-6B4835A42754}">
  <dimension ref="A1:I18"/>
  <sheetViews>
    <sheetView workbookViewId="0">
      <selection activeCell="C4" sqref="C4"/>
    </sheetView>
  </sheetViews>
  <sheetFormatPr defaultRowHeight="14.4" x14ac:dyDescent="0.3"/>
  <cols>
    <col min="1" max="1" width="17.44140625" bestFit="1" customWidth="1"/>
    <col min="3" max="3" width="13.44140625" bestFit="1" customWidth="1"/>
    <col min="6" max="6" width="12.44140625" bestFit="1" customWidth="1"/>
    <col min="7" max="7" width="12" bestFit="1" customWidth="1"/>
    <col min="8" max="9" width="12.109375" bestFit="1" customWidth="1"/>
  </cols>
  <sheetData>
    <row r="1" spans="1:9" x14ac:dyDescent="0.3">
      <c r="A1" s="6" t="s">
        <v>108</v>
      </c>
    </row>
    <row r="2" spans="1:9" ht="15" thickBot="1" x14ac:dyDescent="0.35"/>
    <row r="3" spans="1:9" x14ac:dyDescent="0.3">
      <c r="A3" s="5" t="s">
        <v>109</v>
      </c>
      <c r="B3" s="5"/>
    </row>
    <row r="4" spans="1:9" x14ac:dyDescent="0.3">
      <c r="A4" t="s">
        <v>110</v>
      </c>
      <c r="B4">
        <v>0.40977478417430607</v>
      </c>
    </row>
    <row r="5" spans="1:9" x14ac:dyDescent="0.3">
      <c r="A5" t="s">
        <v>111</v>
      </c>
      <c r="B5">
        <v>0.1679153737450991</v>
      </c>
    </row>
    <row r="6" spans="1:9" x14ac:dyDescent="0.3">
      <c r="A6" t="s">
        <v>112</v>
      </c>
      <c r="B6">
        <v>0.16529050110707103</v>
      </c>
    </row>
    <row r="7" spans="1:9" x14ac:dyDescent="0.3">
      <c r="A7" t="s">
        <v>113</v>
      </c>
      <c r="B7">
        <v>94950.667202534241</v>
      </c>
    </row>
    <row r="8" spans="1:9" ht="15" thickBot="1" x14ac:dyDescent="0.35">
      <c r="A8" s="3" t="s">
        <v>114</v>
      </c>
      <c r="B8" s="3">
        <v>319</v>
      </c>
    </row>
    <row r="10" spans="1:9" ht="15" thickBot="1" x14ac:dyDescent="0.35">
      <c r="A10" t="s">
        <v>115</v>
      </c>
    </row>
    <row r="11" spans="1:9" x14ac:dyDescent="0.3">
      <c r="A11" s="4"/>
      <c r="B11" s="4" t="s">
        <v>120</v>
      </c>
      <c r="C11" s="4" t="s">
        <v>121</v>
      </c>
      <c r="D11" s="4" t="s">
        <v>122</v>
      </c>
      <c r="E11" s="4" t="s">
        <v>123</v>
      </c>
      <c r="F11" s="4" t="s">
        <v>124</v>
      </c>
    </row>
    <row r="12" spans="1:9" x14ac:dyDescent="0.3">
      <c r="A12" t="s">
        <v>116</v>
      </c>
      <c r="B12">
        <v>1</v>
      </c>
      <c r="C12">
        <v>576737600561.45068</v>
      </c>
      <c r="D12">
        <v>576737600561.45068</v>
      </c>
      <c r="E12">
        <v>63.970865219291035</v>
      </c>
      <c r="F12">
        <v>2.3909308565216624E-14</v>
      </c>
    </row>
    <row r="13" spans="1:9" x14ac:dyDescent="0.3">
      <c r="A13" t="s">
        <v>117</v>
      </c>
      <c r="B13">
        <v>317</v>
      </c>
      <c r="C13">
        <v>2857954457099.4326</v>
      </c>
      <c r="D13">
        <v>9015629202.2064114</v>
      </c>
    </row>
    <row r="14" spans="1:9" ht="15" thickBot="1" x14ac:dyDescent="0.35">
      <c r="A14" s="3" t="s">
        <v>118</v>
      </c>
      <c r="B14" s="3">
        <v>318</v>
      </c>
      <c r="C14" s="3">
        <v>3434692057660.8833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125</v>
      </c>
      <c r="C16" s="4" t="s">
        <v>113</v>
      </c>
      <c r="D16" s="4" t="s">
        <v>126</v>
      </c>
      <c r="E16" s="4" t="s">
        <v>127</v>
      </c>
      <c r="F16" s="4" t="s">
        <v>128</v>
      </c>
      <c r="G16" s="4" t="s">
        <v>129</v>
      </c>
      <c r="H16" s="4" t="s">
        <v>130</v>
      </c>
      <c r="I16" s="4" t="s">
        <v>131</v>
      </c>
    </row>
    <row r="17" spans="1:9" x14ac:dyDescent="0.3">
      <c r="A17" t="s">
        <v>119</v>
      </c>
      <c r="B17">
        <v>560613.61507034348</v>
      </c>
      <c r="C17">
        <v>15927.264192377823</v>
      </c>
      <c r="D17">
        <v>35.198362273580649</v>
      </c>
      <c r="E17">
        <v>1.5413302459714516E-111</v>
      </c>
      <c r="F17">
        <v>529277.11047286727</v>
      </c>
      <c r="G17">
        <v>591950.1196678197</v>
      </c>
      <c r="H17">
        <v>529277.11047286727</v>
      </c>
      <c r="I17">
        <v>591950.1196678197</v>
      </c>
    </row>
    <row r="18" spans="1:9" ht="15" thickBot="1" x14ac:dyDescent="0.35">
      <c r="A18" s="3">
        <v>70389.11</v>
      </c>
      <c r="B18" s="3">
        <v>2.1353768431354161</v>
      </c>
      <c r="C18" s="3">
        <v>0.26698288174478985</v>
      </c>
      <c r="D18" s="3">
        <v>7.9981788689232616</v>
      </c>
      <c r="E18" s="3">
        <v>2.3909308565221017E-14</v>
      </c>
      <c r="F18" s="3">
        <v>1.6100945221925103</v>
      </c>
      <c r="G18" s="3">
        <v>2.6606591640783219</v>
      </c>
      <c r="H18" s="3">
        <v>1.6100945221925103</v>
      </c>
      <c r="I18" s="3">
        <v>2.6606591640783219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65359-5655-480E-A402-8EEEE5720A29}">
  <dimension ref="A1:I18"/>
  <sheetViews>
    <sheetView workbookViewId="0">
      <selection activeCell="J8" sqref="J8"/>
    </sheetView>
  </sheetViews>
  <sheetFormatPr defaultRowHeight="14.4" x14ac:dyDescent="0.3"/>
  <cols>
    <col min="1" max="1" width="18" bestFit="1" customWidth="1"/>
    <col min="2" max="2" width="12" bestFit="1" customWidth="1"/>
    <col min="3" max="3" width="13.44140625" bestFit="1" customWidth="1"/>
    <col min="4" max="5" width="12" bestFit="1" customWidth="1"/>
    <col min="6" max="6" width="12.44140625" bestFit="1" customWidth="1"/>
    <col min="7" max="7" width="12" bestFit="1" customWidth="1"/>
    <col min="8" max="9" width="12.109375" bestFit="1" customWidth="1"/>
  </cols>
  <sheetData>
    <row r="1" spans="1:9" x14ac:dyDescent="0.3">
      <c r="A1" s="6" t="s">
        <v>108</v>
      </c>
    </row>
    <row r="2" spans="1:9" ht="15" thickBot="1" x14ac:dyDescent="0.35"/>
    <row r="3" spans="1:9" x14ac:dyDescent="0.3">
      <c r="A3" s="5" t="s">
        <v>109</v>
      </c>
      <c r="B3" s="5"/>
    </row>
    <row r="4" spans="1:9" x14ac:dyDescent="0.3">
      <c r="A4" t="s">
        <v>110</v>
      </c>
      <c r="B4">
        <v>0.859244855751231</v>
      </c>
    </row>
    <row r="5" spans="1:9" x14ac:dyDescent="0.3">
      <c r="A5" t="s">
        <v>111</v>
      </c>
      <c r="B5">
        <v>0.73830172213495371</v>
      </c>
    </row>
    <row r="6" spans="1:9" x14ac:dyDescent="0.3">
      <c r="A6" t="s">
        <v>112</v>
      </c>
      <c r="B6">
        <v>0.73747617551708289</v>
      </c>
    </row>
    <row r="7" spans="1:9" x14ac:dyDescent="0.3">
      <c r="A7" t="s">
        <v>113</v>
      </c>
      <c r="B7">
        <v>53249.398227864229</v>
      </c>
    </row>
    <row r="8" spans="1:9" ht="15" thickBot="1" x14ac:dyDescent="0.35">
      <c r="A8" s="3" t="s">
        <v>114</v>
      </c>
      <c r="B8" s="3">
        <v>319</v>
      </c>
    </row>
    <row r="10" spans="1:9" ht="15" thickBot="1" x14ac:dyDescent="0.35">
      <c r="A10" t="s">
        <v>115</v>
      </c>
    </row>
    <row r="11" spans="1:9" x14ac:dyDescent="0.3">
      <c r="A11" s="4"/>
      <c r="B11" s="4" t="s">
        <v>120</v>
      </c>
      <c r="C11" s="4" t="s">
        <v>121</v>
      </c>
      <c r="D11" s="4" t="s">
        <v>122</v>
      </c>
      <c r="E11" s="4" t="s">
        <v>123</v>
      </c>
      <c r="F11" s="4" t="s">
        <v>124</v>
      </c>
    </row>
    <row r="12" spans="1:9" x14ac:dyDescent="0.3">
      <c r="A12" t="s">
        <v>116</v>
      </c>
      <c r="B12">
        <v>1</v>
      </c>
      <c r="C12">
        <v>2535839061174.2778</v>
      </c>
      <c r="D12">
        <v>2535839061174.2778</v>
      </c>
      <c r="E12">
        <v>894.31863222834022</v>
      </c>
      <c r="F12">
        <v>2.74098588273739E-94</v>
      </c>
    </row>
    <row r="13" spans="1:9" x14ac:dyDescent="0.3">
      <c r="A13" t="s">
        <v>117</v>
      </c>
      <c r="B13">
        <v>317</v>
      </c>
      <c r="C13">
        <v>898852996486.60547</v>
      </c>
      <c r="D13">
        <v>2835498411.6296701</v>
      </c>
    </row>
    <row r="14" spans="1:9" ht="15" thickBot="1" x14ac:dyDescent="0.35">
      <c r="A14" s="3" t="s">
        <v>118</v>
      </c>
      <c r="B14" s="3">
        <v>318</v>
      </c>
      <c r="C14" s="3">
        <v>3434692057660.8833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125</v>
      </c>
      <c r="C16" s="4" t="s">
        <v>113</v>
      </c>
      <c r="D16" s="4" t="s">
        <v>126</v>
      </c>
      <c r="E16" s="4" t="s">
        <v>127</v>
      </c>
      <c r="F16" s="4" t="s">
        <v>128</v>
      </c>
      <c r="G16" s="4" t="s">
        <v>129</v>
      </c>
      <c r="H16" s="4" t="s">
        <v>130</v>
      </c>
      <c r="I16" s="4" t="s">
        <v>131</v>
      </c>
    </row>
    <row r="17" spans="1:9" x14ac:dyDescent="0.3">
      <c r="A17" t="s">
        <v>119</v>
      </c>
      <c r="B17">
        <v>446190.51501475286</v>
      </c>
      <c r="C17">
        <v>8389.3125699415159</v>
      </c>
      <c r="D17">
        <v>53.185587173546374</v>
      </c>
      <c r="E17">
        <v>5.0528341737437921E-160</v>
      </c>
      <c r="F17">
        <v>429684.74674580886</v>
      </c>
      <c r="G17">
        <v>462696.28328369686</v>
      </c>
      <c r="H17">
        <v>429684.74674580886</v>
      </c>
      <c r="I17">
        <v>462696.28328369686</v>
      </c>
    </row>
    <row r="18" spans="1:9" ht="15" thickBot="1" x14ac:dyDescent="0.35">
      <c r="A18" s="3">
        <v>8302</v>
      </c>
      <c r="B18" s="3">
        <v>35.751619680654599</v>
      </c>
      <c r="C18" s="3">
        <v>1.1955000049838875</v>
      </c>
      <c r="D18" s="3">
        <v>29.905160628699825</v>
      </c>
      <c r="E18" s="3">
        <v>2.740985882738092E-94</v>
      </c>
      <c r="F18" s="3">
        <v>33.399502521677057</v>
      </c>
      <c r="G18" s="3">
        <v>38.103736839632141</v>
      </c>
      <c r="H18" s="3">
        <v>33.399502521677057</v>
      </c>
      <c r="I18" s="3">
        <v>38.103736839632141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A725-A179-4B08-9F8E-670858FDFACB}">
  <dimension ref="A1:F12"/>
  <sheetViews>
    <sheetView workbookViewId="0">
      <selection activeCell="B16" sqref="B16"/>
    </sheetView>
  </sheetViews>
  <sheetFormatPr defaultRowHeight="14.4" x14ac:dyDescent="0.3"/>
  <cols>
    <col min="1" max="1" width="17.21875" bestFit="1" customWidth="1"/>
    <col min="2" max="2" width="19.44140625" bestFit="1" customWidth="1"/>
    <col min="4" max="4" width="8.21875" bestFit="1" customWidth="1"/>
    <col min="5" max="5" width="10.44140625" customWidth="1"/>
    <col min="6" max="6" width="17.77734375" bestFit="1" customWidth="1"/>
  </cols>
  <sheetData>
    <row r="1" spans="1:6" x14ac:dyDescent="0.3">
      <c r="A1" s="6" t="s">
        <v>144</v>
      </c>
    </row>
    <row r="2" spans="1:6" x14ac:dyDescent="0.3">
      <c r="A2" s="7" t="s">
        <v>132</v>
      </c>
      <c r="B2" s="7" t="s">
        <v>133</v>
      </c>
      <c r="C2" s="7" t="s">
        <v>134</v>
      </c>
      <c r="D2" s="7" t="s">
        <v>127</v>
      </c>
      <c r="E2" s="7" t="s">
        <v>135</v>
      </c>
      <c r="F2" s="7" t="s">
        <v>136</v>
      </c>
    </row>
    <row r="3" spans="1:6" x14ac:dyDescent="0.3">
      <c r="A3" s="8" t="s">
        <v>137</v>
      </c>
      <c r="B3" s="8" t="s">
        <v>138</v>
      </c>
      <c r="C3" s="8">
        <v>0.16789999999999999</v>
      </c>
      <c r="D3" s="9">
        <v>2.3900000000000001E-14</v>
      </c>
      <c r="E3" s="8" t="s">
        <v>139</v>
      </c>
      <c r="F3" s="8" t="s">
        <v>140</v>
      </c>
    </row>
    <row r="4" spans="1:6" x14ac:dyDescent="0.3">
      <c r="A4" s="8" t="s">
        <v>141</v>
      </c>
      <c r="B4" s="8" t="s">
        <v>142</v>
      </c>
      <c r="C4" s="8">
        <v>0.73829999999999996</v>
      </c>
      <c r="D4" s="9">
        <v>2.7399999999999998E-94</v>
      </c>
      <c r="E4" s="8" t="s">
        <v>139</v>
      </c>
      <c r="F4" s="8" t="s">
        <v>143</v>
      </c>
    </row>
    <row r="5" spans="1:6" x14ac:dyDescent="0.3">
      <c r="A5" s="10"/>
      <c r="B5" s="10"/>
      <c r="C5" s="10"/>
      <c r="D5" s="11"/>
      <c r="E5" s="10"/>
      <c r="F5" s="10"/>
    </row>
    <row r="6" spans="1:6" x14ac:dyDescent="0.3">
      <c r="A6" s="10"/>
      <c r="B6" s="10"/>
      <c r="C6" s="10"/>
      <c r="D6" s="11"/>
      <c r="E6" s="10"/>
      <c r="F6" s="10"/>
    </row>
    <row r="7" spans="1:6" x14ac:dyDescent="0.3">
      <c r="A7" s="6" t="s">
        <v>151</v>
      </c>
    </row>
    <row r="8" spans="1:6" x14ac:dyDescent="0.3">
      <c r="A8" s="12" t="s">
        <v>138</v>
      </c>
      <c r="B8" s="12" t="s">
        <v>142</v>
      </c>
    </row>
    <row r="9" spans="1:6" x14ac:dyDescent="0.3">
      <c r="A9" s="13" t="s">
        <v>145</v>
      </c>
      <c r="B9" s="14" t="s">
        <v>146</v>
      </c>
    </row>
    <row r="10" spans="1:6" x14ac:dyDescent="0.3">
      <c r="A10" s="13" t="s">
        <v>147</v>
      </c>
      <c r="B10" s="14" t="s">
        <v>148</v>
      </c>
    </row>
    <row r="11" spans="1:6" x14ac:dyDescent="0.3">
      <c r="A11" s="13" t="s">
        <v>135</v>
      </c>
      <c r="B11" s="13" t="s">
        <v>135</v>
      </c>
    </row>
    <row r="12" spans="1:6" x14ac:dyDescent="0.3">
      <c r="A12" s="13" t="s">
        <v>149</v>
      </c>
      <c r="B12" s="14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E918-4077-4413-A8A7-34D747AD4471}">
  <dimension ref="A1:I22"/>
  <sheetViews>
    <sheetView zoomScale="71" workbookViewId="0">
      <selection activeCell="J32" sqref="J32"/>
    </sheetView>
  </sheetViews>
  <sheetFormatPr defaultRowHeight="14.4" x14ac:dyDescent="0.3"/>
  <cols>
    <col min="1" max="1" width="17.44140625" bestFit="1" customWidth="1"/>
    <col min="2" max="2" width="12.6640625" bestFit="1" customWidth="1"/>
    <col min="3" max="3" width="13.44140625" bestFit="1" customWidth="1"/>
    <col min="4" max="4" width="12.6640625" bestFit="1" customWidth="1"/>
    <col min="5" max="5" width="12" bestFit="1" customWidth="1"/>
    <col min="6" max="9" width="12.6640625" bestFit="1" customWidth="1"/>
  </cols>
  <sheetData>
    <row r="1" spans="1:9" x14ac:dyDescent="0.3">
      <c r="A1" t="s">
        <v>108</v>
      </c>
    </row>
    <row r="2" spans="1:9" ht="15" thickBot="1" x14ac:dyDescent="0.35"/>
    <row r="3" spans="1:9" x14ac:dyDescent="0.3">
      <c r="A3" s="5" t="s">
        <v>109</v>
      </c>
      <c r="B3" s="5"/>
    </row>
    <row r="4" spans="1:9" x14ac:dyDescent="0.3">
      <c r="A4" t="s">
        <v>110</v>
      </c>
      <c r="B4">
        <v>0.90177469194632953</v>
      </c>
    </row>
    <row r="5" spans="1:9" x14ac:dyDescent="0.3">
      <c r="A5" t="s">
        <v>111</v>
      </c>
      <c r="B5">
        <v>0.81319759503489752</v>
      </c>
    </row>
    <row r="6" spans="1:9" x14ac:dyDescent="0.3">
      <c r="A6" t="s">
        <v>112</v>
      </c>
      <c r="B6">
        <v>0.81021353105781924</v>
      </c>
    </row>
    <row r="7" spans="1:9" x14ac:dyDescent="0.3">
      <c r="A7" t="s">
        <v>113</v>
      </c>
      <c r="B7">
        <v>45275.469829970469</v>
      </c>
    </row>
    <row r="8" spans="1:9" ht="15" thickBot="1" x14ac:dyDescent="0.35">
      <c r="A8" s="3" t="s">
        <v>114</v>
      </c>
      <c r="B8" s="3">
        <v>319</v>
      </c>
    </row>
    <row r="10" spans="1:9" ht="15" thickBot="1" x14ac:dyDescent="0.35">
      <c r="A10" t="s">
        <v>115</v>
      </c>
    </row>
    <row r="11" spans="1:9" x14ac:dyDescent="0.3">
      <c r="A11" s="4"/>
      <c r="B11" s="4" t="s">
        <v>120</v>
      </c>
      <c r="C11" s="4" t="s">
        <v>121</v>
      </c>
      <c r="D11" s="4" t="s">
        <v>122</v>
      </c>
      <c r="E11" s="4" t="s">
        <v>123</v>
      </c>
      <c r="F11" s="4" t="s">
        <v>124</v>
      </c>
    </row>
    <row r="12" spans="1:9" x14ac:dyDescent="0.3">
      <c r="A12" t="s">
        <v>116</v>
      </c>
      <c r="B12">
        <v>5</v>
      </c>
      <c r="C12">
        <v>2793083320975.2939</v>
      </c>
      <c r="D12">
        <v>558616664195.05884</v>
      </c>
      <c r="E12">
        <v>272.51345858579634</v>
      </c>
      <c r="F12">
        <v>1.025453291251498E-111</v>
      </c>
    </row>
    <row r="13" spans="1:9" x14ac:dyDescent="0.3">
      <c r="A13" t="s">
        <v>117</v>
      </c>
      <c r="B13">
        <v>313</v>
      </c>
      <c r="C13">
        <v>641608736685.58911</v>
      </c>
      <c r="D13">
        <v>2049868168.3245659</v>
      </c>
    </row>
    <row r="14" spans="1:9" ht="15" thickBot="1" x14ac:dyDescent="0.35">
      <c r="A14" s="3" t="s">
        <v>118</v>
      </c>
      <c r="B14" s="3">
        <v>318</v>
      </c>
      <c r="C14" s="3">
        <v>3434692057660.8828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125</v>
      </c>
      <c r="C16" s="4" t="s">
        <v>113</v>
      </c>
      <c r="D16" s="4" t="s">
        <v>126</v>
      </c>
      <c r="E16" s="4" t="s">
        <v>127</v>
      </c>
      <c r="F16" s="4" t="s">
        <v>128</v>
      </c>
      <c r="G16" s="4" t="s">
        <v>129</v>
      </c>
      <c r="H16" s="4" t="s">
        <v>130</v>
      </c>
      <c r="I16" s="4" t="s">
        <v>131</v>
      </c>
    </row>
    <row r="17" spans="1:9" x14ac:dyDescent="0.3">
      <c r="A17" t="s">
        <v>119</v>
      </c>
      <c r="B17">
        <v>108811.43080851583</v>
      </c>
      <c r="C17">
        <v>49644.39410291781</v>
      </c>
      <c r="D17">
        <v>2.1918170777336674</v>
      </c>
      <c r="E17">
        <v>2.9129098850275651E-2</v>
      </c>
      <c r="F17">
        <v>11132.510047288277</v>
      </c>
      <c r="G17">
        <v>206490.35156974336</v>
      </c>
      <c r="H17">
        <v>11132.510047288277</v>
      </c>
      <c r="I17">
        <v>206490.35156974336</v>
      </c>
    </row>
    <row r="18" spans="1:9" x14ac:dyDescent="0.3">
      <c r="A18">
        <v>70389.11</v>
      </c>
      <c r="B18">
        <v>1.1998851513619426</v>
      </c>
      <c r="C18">
        <v>0.13119956126707336</v>
      </c>
      <c r="D18">
        <v>9.1454966752474434</v>
      </c>
      <c r="E18">
        <v>7.7698543561544129E-18</v>
      </c>
      <c r="F18">
        <v>0.94174056564403452</v>
      </c>
      <c r="G18">
        <v>1.4580297370798507</v>
      </c>
      <c r="H18">
        <v>0.94174056564403452</v>
      </c>
      <c r="I18">
        <v>1.4580297370798507</v>
      </c>
    </row>
    <row r="19" spans="1:9" x14ac:dyDescent="0.3">
      <c r="A19">
        <v>8302</v>
      </c>
      <c r="B19">
        <v>34.08140664825909</v>
      </c>
      <c r="C19">
        <v>1.0506428463689401</v>
      </c>
      <c r="D19">
        <v>32.438622473893645</v>
      </c>
      <c r="E19">
        <v>3.9923751276488619E-102</v>
      </c>
      <c r="F19">
        <v>32.014191181270633</v>
      </c>
      <c r="G19">
        <v>36.148622115247548</v>
      </c>
      <c r="H19">
        <v>32.014191181270633</v>
      </c>
      <c r="I19">
        <v>36.148622115247548</v>
      </c>
    </row>
    <row r="20" spans="1:9" x14ac:dyDescent="0.3">
      <c r="A20">
        <v>75</v>
      </c>
      <c r="B20">
        <v>2804.9658454554101</v>
      </c>
      <c r="C20">
        <v>480.73012466753329</v>
      </c>
      <c r="D20">
        <v>5.8348035655042176</v>
      </c>
      <c r="E20">
        <v>1.3441464081858343E-8</v>
      </c>
      <c r="F20">
        <v>1859.0947032356453</v>
      </c>
      <c r="G20">
        <v>3750.8369876751749</v>
      </c>
      <c r="H20">
        <v>1859.0947032356453</v>
      </c>
      <c r="I20">
        <v>3750.8369876751749</v>
      </c>
    </row>
    <row r="21" spans="1:9" x14ac:dyDescent="0.3">
      <c r="A21">
        <v>3.1</v>
      </c>
      <c r="B21">
        <v>9719.5931207827834</v>
      </c>
      <c r="C21">
        <v>4941.5761838048929</v>
      </c>
      <c r="D21">
        <v>1.9669014013457815</v>
      </c>
      <c r="E21">
        <v>5.0077658444770828E-2</v>
      </c>
      <c r="F21">
        <v>-3.3139106292037468</v>
      </c>
      <c r="G21">
        <v>19442.500152194771</v>
      </c>
      <c r="H21">
        <v>-3.3139106292037468</v>
      </c>
      <c r="I21">
        <v>19442.500152194771</v>
      </c>
    </row>
    <row r="22" spans="1:9" ht="15" thickBot="1" x14ac:dyDescent="0.35">
      <c r="A22" s="3">
        <v>1</v>
      </c>
      <c r="B22" s="3">
        <v>-15737.78422553668</v>
      </c>
      <c r="C22" s="3">
        <v>5466.6148574452136</v>
      </c>
      <c r="D22" s="3">
        <v>-2.8788902521827975</v>
      </c>
      <c r="E22" s="3">
        <v>4.265588399935084E-3</v>
      </c>
      <c r="F22" s="3">
        <v>-26493.742660351305</v>
      </c>
      <c r="G22" s="3">
        <v>-4981.8257907220541</v>
      </c>
      <c r="H22" s="3">
        <v>-26493.742660351305</v>
      </c>
      <c r="I22" s="3">
        <v>-4981.8257907220541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7BAC2-323C-40FE-8B8B-4A6613466DB3}">
  <dimension ref="A1:G322"/>
  <sheetViews>
    <sheetView zoomScale="131" workbookViewId="0">
      <selection activeCell="G14" sqref="E10:G14"/>
    </sheetView>
  </sheetViews>
  <sheetFormatPr defaultRowHeight="14.4" x14ac:dyDescent="0.3"/>
  <cols>
    <col min="1" max="1" width="15" customWidth="1"/>
    <col min="2" max="2" width="16.88671875" customWidth="1"/>
    <col min="3" max="3" width="13.33203125" customWidth="1"/>
    <col min="5" max="5" width="20.33203125" bestFit="1" customWidth="1"/>
    <col min="6" max="6" width="13.33203125" bestFit="1" customWidth="1"/>
    <col min="7" max="7" width="11.6640625" bestFit="1" customWidth="1"/>
  </cols>
  <sheetData>
    <row r="1" spans="1:7" x14ac:dyDescent="0.3">
      <c r="A1" s="12" t="s">
        <v>152</v>
      </c>
      <c r="B1" s="12" t="s">
        <v>153</v>
      </c>
      <c r="C1" s="12" t="s">
        <v>154</v>
      </c>
      <c r="E1" s="6" t="s">
        <v>157</v>
      </c>
    </row>
    <row r="2" spans="1:7" x14ac:dyDescent="0.3">
      <c r="A2" s="13" t="s">
        <v>155</v>
      </c>
      <c r="B2" s="13" t="s">
        <v>156</v>
      </c>
      <c r="C2" s="13" t="s">
        <v>117</v>
      </c>
      <c r="E2" s="13" t="s">
        <v>155</v>
      </c>
      <c r="F2" s="13" t="s">
        <v>156</v>
      </c>
      <c r="G2" s="13" t="s">
        <v>117</v>
      </c>
    </row>
    <row r="3" spans="1:7" x14ac:dyDescent="0.3">
      <c r="A3">
        <v>713611.16</v>
      </c>
      <c r="B3">
        <v>586083.8979233515</v>
      </c>
      <c r="C3">
        <f t="shared" ref="C3:C66" si="0">A3-B3</f>
        <v>127527.26207664853</v>
      </c>
      <c r="E3">
        <v>713611.16</v>
      </c>
      <c r="F3">
        <v>2001763886.7932484</v>
      </c>
      <c r="G3">
        <f>E3-F3</f>
        <v>-2001050275.6332483</v>
      </c>
    </row>
    <row r="4" spans="1:7" x14ac:dyDescent="0.3">
      <c r="A4">
        <v>625514.04</v>
      </c>
      <c r="B4">
        <v>520997.743893796</v>
      </c>
      <c r="C4">
        <f t="shared" si="0"/>
        <v>104516.29610620404</v>
      </c>
      <c r="E4">
        <v>625514.04</v>
      </c>
      <c r="F4">
        <v>1754654493.2754381</v>
      </c>
      <c r="G4">
        <f>E4-F4</f>
        <v>-1754028979.2354381</v>
      </c>
    </row>
    <row r="5" spans="1:7" x14ac:dyDescent="0.3">
      <c r="A5">
        <v>787715.51</v>
      </c>
      <c r="B5">
        <v>686535.82719864545</v>
      </c>
      <c r="C5">
        <f t="shared" si="0"/>
        <v>101179.68280135456</v>
      </c>
      <c r="E5">
        <v>787715.51</v>
      </c>
      <c r="F5">
        <v>2209624121.1139874</v>
      </c>
      <c r="G5">
        <f>E5-F5</f>
        <v>-2208836405.6039872</v>
      </c>
    </row>
    <row r="6" spans="1:7" x14ac:dyDescent="0.3">
      <c r="A6">
        <v>799046.94</v>
      </c>
      <c r="B6">
        <v>700911.92480326653</v>
      </c>
      <c r="C6">
        <f t="shared" si="0"/>
        <v>98135.01519673341</v>
      </c>
      <c r="E6">
        <v>799046.94</v>
      </c>
      <c r="F6">
        <v>2241408484.832828</v>
      </c>
      <c r="G6">
        <f>E6-F6</f>
        <v>-2240609437.892828</v>
      </c>
    </row>
    <row r="7" spans="1:7" x14ac:dyDescent="0.3">
      <c r="A7">
        <v>813316.71</v>
      </c>
      <c r="B7">
        <v>719194.97343709506</v>
      </c>
      <c r="C7">
        <f t="shared" si="0"/>
        <v>94121.736562904902</v>
      </c>
      <c r="E7">
        <v>813316.71</v>
      </c>
      <c r="F7">
        <v>2281434625.2848363</v>
      </c>
      <c r="G7">
        <f>E7-F7</f>
        <v>-2280621308.5748363</v>
      </c>
    </row>
    <row r="8" spans="1:7" x14ac:dyDescent="0.3">
      <c r="A8">
        <v>840108.12</v>
      </c>
      <c r="B8">
        <v>753475.96637918707</v>
      </c>
      <c r="C8">
        <f t="shared" si="0"/>
        <v>86632.153620812926</v>
      </c>
      <c r="E8" s="6" t="s">
        <v>158</v>
      </c>
    </row>
    <row r="9" spans="1:7" x14ac:dyDescent="0.3">
      <c r="A9">
        <v>763162.45</v>
      </c>
      <c r="B9">
        <v>678473.10562229156</v>
      </c>
      <c r="C9">
        <f t="shared" si="0"/>
        <v>84689.344377708388</v>
      </c>
      <c r="E9" s="13" t="s">
        <v>155</v>
      </c>
      <c r="F9" s="13" t="s">
        <v>156</v>
      </c>
      <c r="G9" s="13" t="s">
        <v>117</v>
      </c>
    </row>
    <row r="10" spans="1:7" x14ac:dyDescent="0.3">
      <c r="A10">
        <v>686737.87</v>
      </c>
      <c r="B10">
        <v>602429.98593673704</v>
      </c>
      <c r="C10">
        <f t="shared" si="0"/>
        <v>84307.884063262958</v>
      </c>
      <c r="E10">
        <v>685379.08</v>
      </c>
      <c r="F10">
        <v>2210667961.8878293</v>
      </c>
      <c r="G10">
        <f>E10-F10</f>
        <v>-2209982582.8078294</v>
      </c>
    </row>
    <row r="11" spans="1:7" x14ac:dyDescent="0.3">
      <c r="A11">
        <v>727241.86</v>
      </c>
      <c r="B11">
        <v>643377.15096597106</v>
      </c>
      <c r="C11">
        <f t="shared" si="0"/>
        <v>83864.709034028929</v>
      </c>
      <c r="E11">
        <v>595467.6</v>
      </c>
      <c r="F11">
        <v>1300291666.824054</v>
      </c>
      <c r="G11">
        <f>E11-F11</f>
        <v>-1299696199.2240541</v>
      </c>
    </row>
    <row r="12" spans="1:7" x14ac:dyDescent="0.3">
      <c r="A12">
        <v>914544.17</v>
      </c>
      <c r="B12">
        <v>830735.65536663157</v>
      </c>
      <c r="C12">
        <f t="shared" si="0"/>
        <v>83808.514633368468</v>
      </c>
      <c r="E12">
        <v>641865.03</v>
      </c>
      <c r="F12">
        <v>1661198251.2542236</v>
      </c>
      <c r="G12">
        <f>E12-F12</f>
        <v>-1660556386.2242236</v>
      </c>
    </row>
    <row r="13" spans="1:7" x14ac:dyDescent="0.3">
      <c r="A13">
        <v>657429.18000000005</v>
      </c>
      <c r="B13">
        <v>575548.76172053104</v>
      </c>
      <c r="C13">
        <f t="shared" si="0"/>
        <v>81880.418279469013</v>
      </c>
      <c r="E13">
        <v>627171.9</v>
      </c>
      <c r="F13">
        <v>2063187921.7303839</v>
      </c>
      <c r="G13">
        <f>E13-F13</f>
        <v>-2062560749.8303838</v>
      </c>
    </row>
    <row r="14" spans="1:7" x14ac:dyDescent="0.3">
      <c r="A14">
        <v>661927.14</v>
      </c>
      <c r="B14">
        <v>582148.96474598616</v>
      </c>
      <c r="C14">
        <f t="shared" si="0"/>
        <v>79778.175254013855</v>
      </c>
      <c r="E14">
        <v>415721.82</v>
      </c>
      <c r="F14">
        <v>1435815020.3427112</v>
      </c>
      <c r="G14">
        <f>E14-F14</f>
        <v>-1435399298.5227113</v>
      </c>
    </row>
    <row r="15" spans="1:7" x14ac:dyDescent="0.3">
      <c r="A15">
        <v>795153.84</v>
      </c>
      <c r="B15">
        <v>717360.38259988453</v>
      </c>
      <c r="C15">
        <f t="shared" si="0"/>
        <v>77793.45740011544</v>
      </c>
    </row>
    <row r="16" spans="1:7" x14ac:dyDescent="0.3">
      <c r="A16">
        <v>850164.26</v>
      </c>
      <c r="B16">
        <v>772880.60171267798</v>
      </c>
      <c r="C16">
        <f t="shared" si="0"/>
        <v>77283.658287322032</v>
      </c>
    </row>
    <row r="17" spans="1:3" x14ac:dyDescent="0.3">
      <c r="A17">
        <v>778298.88</v>
      </c>
      <c r="B17">
        <v>701303.86519927741</v>
      </c>
      <c r="C17">
        <f t="shared" si="0"/>
        <v>76995.014800722594</v>
      </c>
    </row>
    <row r="18" spans="1:3" x14ac:dyDescent="0.3">
      <c r="A18">
        <v>788087.68</v>
      </c>
      <c r="B18">
        <v>712133.95004261704</v>
      </c>
      <c r="C18">
        <f t="shared" si="0"/>
        <v>75953.72995738301</v>
      </c>
    </row>
    <row r="19" spans="1:3" x14ac:dyDescent="0.3">
      <c r="A19">
        <v>930581.7</v>
      </c>
      <c r="B19">
        <v>854644.00253432896</v>
      </c>
      <c r="C19">
        <f t="shared" si="0"/>
        <v>75937.697465670994</v>
      </c>
    </row>
    <row r="20" spans="1:3" x14ac:dyDescent="0.3">
      <c r="A20">
        <v>783582</v>
      </c>
      <c r="B20">
        <v>708020.15418659803</v>
      </c>
      <c r="C20">
        <f t="shared" si="0"/>
        <v>75561.845813401975</v>
      </c>
    </row>
    <row r="21" spans="1:3" x14ac:dyDescent="0.3">
      <c r="A21">
        <v>735509.4</v>
      </c>
      <c r="B21">
        <v>661389.20763205853</v>
      </c>
      <c r="C21">
        <f t="shared" si="0"/>
        <v>74120.19236794149</v>
      </c>
    </row>
    <row r="22" spans="1:3" x14ac:dyDescent="0.3">
      <c r="A22">
        <v>820519.04</v>
      </c>
      <c r="B22">
        <v>746659.15311625146</v>
      </c>
      <c r="C22">
        <f t="shared" si="0"/>
        <v>73859.886883748579</v>
      </c>
    </row>
    <row r="23" spans="1:3" x14ac:dyDescent="0.3">
      <c r="A23">
        <v>723305.11</v>
      </c>
      <c r="B23">
        <v>653213.7882253686</v>
      </c>
      <c r="C23">
        <f t="shared" si="0"/>
        <v>70091.321774631389</v>
      </c>
    </row>
    <row r="24" spans="1:3" x14ac:dyDescent="0.3">
      <c r="A24">
        <v>795464.47</v>
      </c>
      <c r="B24">
        <v>726529.31134908053</v>
      </c>
      <c r="C24">
        <f t="shared" si="0"/>
        <v>68935.158650919446</v>
      </c>
    </row>
    <row r="25" spans="1:3" x14ac:dyDescent="0.3">
      <c r="A25">
        <v>898031.04</v>
      </c>
      <c r="B25">
        <v>830615.95839823398</v>
      </c>
      <c r="C25">
        <f t="shared" si="0"/>
        <v>67415.081601766055</v>
      </c>
    </row>
    <row r="26" spans="1:3" x14ac:dyDescent="0.3">
      <c r="A26">
        <v>724216.07</v>
      </c>
      <c r="B26">
        <v>657362.83492632408</v>
      </c>
      <c r="C26">
        <f t="shared" si="0"/>
        <v>66853.235073675867</v>
      </c>
    </row>
    <row r="27" spans="1:3" x14ac:dyDescent="0.3">
      <c r="A27">
        <v>749559.71</v>
      </c>
      <c r="B27">
        <v>683645.57604209695</v>
      </c>
      <c r="C27">
        <f t="shared" si="0"/>
        <v>65914.133957903017</v>
      </c>
    </row>
    <row r="28" spans="1:3" x14ac:dyDescent="0.3">
      <c r="A28">
        <v>677640.65</v>
      </c>
      <c r="B28">
        <v>613211.16880653251</v>
      </c>
      <c r="C28">
        <f t="shared" si="0"/>
        <v>64429.481193467509</v>
      </c>
    </row>
    <row r="29" spans="1:3" x14ac:dyDescent="0.3">
      <c r="A29">
        <v>735786.64</v>
      </c>
      <c r="B29">
        <v>671579.35442276997</v>
      </c>
      <c r="C29">
        <f t="shared" si="0"/>
        <v>64207.285577230039</v>
      </c>
    </row>
    <row r="30" spans="1:3" x14ac:dyDescent="0.3">
      <c r="A30">
        <v>910791.94</v>
      </c>
      <c r="B30">
        <v>849311.71548978204</v>
      </c>
      <c r="C30">
        <f t="shared" si="0"/>
        <v>61480.2245102179</v>
      </c>
    </row>
    <row r="31" spans="1:3" x14ac:dyDescent="0.3">
      <c r="A31">
        <v>739374.56</v>
      </c>
      <c r="B31">
        <v>678694.11785449553</v>
      </c>
      <c r="C31">
        <f t="shared" si="0"/>
        <v>60680.442145504523</v>
      </c>
    </row>
    <row r="32" spans="1:3" x14ac:dyDescent="0.3">
      <c r="A32">
        <v>776110.32</v>
      </c>
      <c r="B32">
        <v>715554.69272997312</v>
      </c>
      <c r="C32">
        <f t="shared" si="0"/>
        <v>60555.627270026831</v>
      </c>
    </row>
    <row r="33" spans="1:3" x14ac:dyDescent="0.3">
      <c r="A33">
        <v>620973.03</v>
      </c>
      <c r="B33">
        <v>560761.89574883552</v>
      </c>
      <c r="C33">
        <f t="shared" si="0"/>
        <v>60211.134251164505</v>
      </c>
    </row>
    <row r="34" spans="1:3" x14ac:dyDescent="0.3">
      <c r="A34">
        <v>758827.64</v>
      </c>
      <c r="B34">
        <v>700649.51763825002</v>
      </c>
      <c r="C34">
        <f t="shared" si="0"/>
        <v>58178.122361749993</v>
      </c>
    </row>
    <row r="35" spans="1:3" x14ac:dyDescent="0.3">
      <c r="A35">
        <v>765906.95</v>
      </c>
      <c r="B35">
        <v>708004.31652626104</v>
      </c>
      <c r="C35">
        <f t="shared" si="0"/>
        <v>57902.633473738912</v>
      </c>
    </row>
    <row r="36" spans="1:3" x14ac:dyDescent="0.3">
      <c r="A36">
        <v>870937.4</v>
      </c>
      <c r="B36">
        <v>815613.69651299994</v>
      </c>
      <c r="C36">
        <f t="shared" si="0"/>
        <v>55323.703487000079</v>
      </c>
    </row>
    <row r="37" spans="1:3" x14ac:dyDescent="0.3">
      <c r="A37">
        <v>635181.35</v>
      </c>
      <c r="B37">
        <v>580033.83227051399</v>
      </c>
      <c r="C37">
        <f t="shared" si="0"/>
        <v>55147.51772948599</v>
      </c>
    </row>
    <row r="38" spans="1:3" x14ac:dyDescent="0.3">
      <c r="A38">
        <v>682208.01</v>
      </c>
      <c r="B38">
        <v>629289.93211915705</v>
      </c>
      <c r="C38">
        <f t="shared" si="0"/>
        <v>52918.07788084296</v>
      </c>
    </row>
    <row r="39" spans="1:3" x14ac:dyDescent="0.3">
      <c r="A39">
        <v>780580.95</v>
      </c>
      <c r="B39">
        <v>727776.72047763749</v>
      </c>
      <c r="C39">
        <f t="shared" si="0"/>
        <v>52804.229522362468</v>
      </c>
    </row>
    <row r="40" spans="1:3" x14ac:dyDescent="0.3">
      <c r="A40">
        <v>673348.56</v>
      </c>
      <c r="B40">
        <v>621961.61492604949</v>
      </c>
      <c r="C40">
        <f t="shared" si="0"/>
        <v>51386.94507395057</v>
      </c>
    </row>
    <row r="41" spans="1:3" x14ac:dyDescent="0.3">
      <c r="A41">
        <v>776922.17</v>
      </c>
      <c r="B41">
        <v>726354.96243427158</v>
      </c>
      <c r="C41">
        <f t="shared" si="0"/>
        <v>50567.207565728459</v>
      </c>
    </row>
    <row r="42" spans="1:3" x14ac:dyDescent="0.3">
      <c r="A42">
        <v>838250.32</v>
      </c>
      <c r="B42">
        <v>788827.91875408194</v>
      </c>
      <c r="C42">
        <f t="shared" si="0"/>
        <v>49422.401245918008</v>
      </c>
    </row>
    <row r="43" spans="1:3" x14ac:dyDescent="0.3">
      <c r="A43">
        <v>615966.48</v>
      </c>
      <c r="B43">
        <v>566984.50486259907</v>
      </c>
      <c r="C43">
        <f t="shared" si="0"/>
        <v>48981.975137400907</v>
      </c>
    </row>
    <row r="44" spans="1:3" x14ac:dyDescent="0.3">
      <c r="A44">
        <v>761860.19</v>
      </c>
      <c r="B44">
        <v>713918.06202612049</v>
      </c>
      <c r="C44">
        <f t="shared" si="0"/>
        <v>47942.127973879455</v>
      </c>
    </row>
    <row r="45" spans="1:3" x14ac:dyDescent="0.3">
      <c r="A45">
        <v>674774.09</v>
      </c>
      <c r="B45">
        <v>626956.797649774</v>
      </c>
      <c r="C45">
        <f t="shared" si="0"/>
        <v>47817.292350225965</v>
      </c>
    </row>
    <row r="46" spans="1:3" x14ac:dyDescent="0.3">
      <c r="A46">
        <v>720079.54</v>
      </c>
      <c r="B46">
        <v>673098.30492441112</v>
      </c>
      <c r="C46">
        <f t="shared" si="0"/>
        <v>46981.23507558892</v>
      </c>
    </row>
    <row r="47" spans="1:3" x14ac:dyDescent="0.3">
      <c r="A47">
        <v>762328.31</v>
      </c>
      <c r="B47">
        <v>715681.90306399344</v>
      </c>
      <c r="C47">
        <f t="shared" si="0"/>
        <v>46646.406936006621</v>
      </c>
    </row>
    <row r="48" spans="1:3" x14ac:dyDescent="0.3">
      <c r="A48">
        <v>873380.02</v>
      </c>
      <c r="B48">
        <v>826939.15254975087</v>
      </c>
      <c r="C48">
        <f t="shared" si="0"/>
        <v>46440.867450249149</v>
      </c>
    </row>
    <row r="49" spans="1:3" x14ac:dyDescent="0.3">
      <c r="A49">
        <v>820593.93</v>
      </c>
      <c r="B49">
        <v>774253.05402523035</v>
      </c>
      <c r="C49">
        <f t="shared" si="0"/>
        <v>46340.875974769704</v>
      </c>
    </row>
    <row r="50" spans="1:3" x14ac:dyDescent="0.3">
      <c r="A50">
        <v>778397.97</v>
      </c>
      <c r="B50">
        <v>732519.64440690598</v>
      </c>
      <c r="C50">
        <f t="shared" si="0"/>
        <v>45878.325593093992</v>
      </c>
    </row>
    <row r="51" spans="1:3" x14ac:dyDescent="0.3">
      <c r="A51">
        <v>691112.6</v>
      </c>
      <c r="B51">
        <v>645576.761643823</v>
      </c>
      <c r="C51">
        <f t="shared" si="0"/>
        <v>45535.838356176973</v>
      </c>
    </row>
    <row r="52" spans="1:3" x14ac:dyDescent="0.3">
      <c r="A52">
        <v>625993.82999999996</v>
      </c>
      <c r="B52">
        <v>580724.49049938505</v>
      </c>
      <c r="C52">
        <f t="shared" si="0"/>
        <v>45269.339500614908</v>
      </c>
    </row>
    <row r="53" spans="1:3" x14ac:dyDescent="0.3">
      <c r="A53">
        <v>641564.6</v>
      </c>
      <c r="B53">
        <v>596395.18749429355</v>
      </c>
      <c r="C53">
        <f t="shared" si="0"/>
        <v>45169.412505706423</v>
      </c>
    </row>
    <row r="54" spans="1:3" x14ac:dyDescent="0.3">
      <c r="A54">
        <v>709478.39</v>
      </c>
      <c r="B54">
        <v>665041.77023345302</v>
      </c>
      <c r="C54">
        <f t="shared" si="0"/>
        <v>44436.619766546995</v>
      </c>
    </row>
    <row r="55" spans="1:3" x14ac:dyDescent="0.3">
      <c r="A55">
        <v>753473.55</v>
      </c>
      <c r="B55">
        <v>709185.67994959501</v>
      </c>
      <c r="C55">
        <f t="shared" si="0"/>
        <v>44287.870050405036</v>
      </c>
    </row>
    <row r="56" spans="1:3" x14ac:dyDescent="0.3">
      <c r="A56">
        <v>842157.92</v>
      </c>
      <c r="B56">
        <v>797945.799965585</v>
      </c>
      <c r="C56">
        <f t="shared" si="0"/>
        <v>44212.120034415042</v>
      </c>
    </row>
    <row r="57" spans="1:3" x14ac:dyDescent="0.3">
      <c r="A57">
        <v>682639.28</v>
      </c>
      <c r="B57">
        <v>639211.36446418997</v>
      </c>
      <c r="C57">
        <f t="shared" si="0"/>
        <v>43427.915535810054</v>
      </c>
    </row>
    <row r="58" spans="1:3" x14ac:dyDescent="0.3">
      <c r="A58">
        <v>776992.93</v>
      </c>
      <c r="B58">
        <v>735501.17294221791</v>
      </c>
      <c r="C58">
        <f t="shared" si="0"/>
        <v>41491.757057782146</v>
      </c>
    </row>
    <row r="59" spans="1:3" x14ac:dyDescent="0.3">
      <c r="A59">
        <v>561597.32999999996</v>
      </c>
      <c r="B59">
        <v>520487.48534743552</v>
      </c>
      <c r="C59">
        <f t="shared" si="0"/>
        <v>41109.844652564439</v>
      </c>
    </row>
    <row r="60" spans="1:3" x14ac:dyDescent="0.3">
      <c r="A60">
        <v>711213.46</v>
      </c>
      <c r="B60">
        <v>670818.58308499097</v>
      </c>
      <c r="C60">
        <f t="shared" si="0"/>
        <v>40394.876915008994</v>
      </c>
    </row>
    <row r="61" spans="1:3" x14ac:dyDescent="0.3">
      <c r="A61">
        <v>696744.15</v>
      </c>
      <c r="B61">
        <v>656904.33822978253</v>
      </c>
      <c r="C61">
        <f t="shared" si="0"/>
        <v>39839.811770217493</v>
      </c>
    </row>
    <row r="62" spans="1:3" x14ac:dyDescent="0.3">
      <c r="A62">
        <v>781955.52</v>
      </c>
      <c r="B62">
        <v>742511.33348891349</v>
      </c>
      <c r="C62">
        <f t="shared" si="0"/>
        <v>39444.186511086533</v>
      </c>
    </row>
    <row r="63" spans="1:3" x14ac:dyDescent="0.3">
      <c r="A63">
        <v>727227.2</v>
      </c>
      <c r="B63">
        <v>688659.46376621048</v>
      </c>
      <c r="C63">
        <f t="shared" si="0"/>
        <v>38567.736233789474</v>
      </c>
    </row>
    <row r="64" spans="1:3" x14ac:dyDescent="0.3">
      <c r="A64">
        <v>825797.91</v>
      </c>
      <c r="B64">
        <v>787450.65262442955</v>
      </c>
      <c r="C64">
        <f t="shared" si="0"/>
        <v>38347.25737557048</v>
      </c>
    </row>
    <row r="65" spans="1:3" x14ac:dyDescent="0.3">
      <c r="A65">
        <v>658072.14</v>
      </c>
      <c r="B65">
        <v>619926.92192888807</v>
      </c>
      <c r="C65">
        <f t="shared" si="0"/>
        <v>38145.218071111944</v>
      </c>
    </row>
    <row r="66" spans="1:3" x14ac:dyDescent="0.3">
      <c r="A66">
        <v>665342.49</v>
      </c>
      <c r="B66">
        <v>627329.57486878906</v>
      </c>
      <c r="C66">
        <f t="shared" si="0"/>
        <v>38012.915131210932</v>
      </c>
    </row>
    <row r="67" spans="1:3" x14ac:dyDescent="0.3">
      <c r="A67">
        <v>720852.5</v>
      </c>
      <c r="B67">
        <v>682860.98871842504</v>
      </c>
      <c r="C67">
        <f t="shared" ref="C67:C130" si="1">A67-B67</f>
        <v>37991.51128157496</v>
      </c>
    </row>
    <row r="68" spans="1:3" x14ac:dyDescent="0.3">
      <c r="A68">
        <v>529598.93999999994</v>
      </c>
      <c r="B68">
        <v>491713.36228986748</v>
      </c>
      <c r="C68">
        <f t="shared" si="1"/>
        <v>37885.577710132464</v>
      </c>
    </row>
    <row r="69" spans="1:3" x14ac:dyDescent="0.3">
      <c r="A69">
        <v>922168.6</v>
      </c>
      <c r="B69">
        <v>884637.27868833893</v>
      </c>
      <c r="C69">
        <f t="shared" si="1"/>
        <v>37531.321311661042</v>
      </c>
    </row>
    <row r="70" spans="1:3" x14ac:dyDescent="0.3">
      <c r="A70">
        <v>740102.64</v>
      </c>
      <c r="B70">
        <v>702574.7101508599</v>
      </c>
      <c r="C70">
        <f t="shared" si="1"/>
        <v>37527.929849140113</v>
      </c>
    </row>
    <row r="71" spans="1:3" x14ac:dyDescent="0.3">
      <c r="A71">
        <v>715890.53</v>
      </c>
      <c r="B71">
        <v>678494.39471909648</v>
      </c>
      <c r="C71">
        <f t="shared" si="1"/>
        <v>37396.135280903545</v>
      </c>
    </row>
    <row r="72" spans="1:3" x14ac:dyDescent="0.3">
      <c r="A72">
        <v>676337.41</v>
      </c>
      <c r="B72">
        <v>639222.26207904005</v>
      </c>
      <c r="C72">
        <f t="shared" si="1"/>
        <v>37115.147920959978</v>
      </c>
    </row>
    <row r="73" spans="1:3" x14ac:dyDescent="0.3">
      <c r="A73">
        <v>691447.43</v>
      </c>
      <c r="B73">
        <v>656556.73992696742</v>
      </c>
      <c r="C73">
        <f t="shared" si="1"/>
        <v>34890.690073032631</v>
      </c>
    </row>
    <row r="74" spans="1:3" x14ac:dyDescent="0.3">
      <c r="A74">
        <v>767792.94</v>
      </c>
      <c r="B74">
        <v>733203.99676148104</v>
      </c>
      <c r="C74">
        <f t="shared" si="1"/>
        <v>34588.943238518899</v>
      </c>
    </row>
    <row r="75" spans="1:3" x14ac:dyDescent="0.3">
      <c r="A75">
        <v>586307.22</v>
      </c>
      <c r="B75">
        <v>551767.00155507657</v>
      </c>
      <c r="C75">
        <f t="shared" si="1"/>
        <v>34540.218444923405</v>
      </c>
    </row>
    <row r="76" spans="1:3" x14ac:dyDescent="0.3">
      <c r="A76">
        <v>773815.14</v>
      </c>
      <c r="B76">
        <v>739725.5774049235</v>
      </c>
      <c r="C76">
        <f t="shared" si="1"/>
        <v>34089.56259507651</v>
      </c>
    </row>
    <row r="77" spans="1:3" x14ac:dyDescent="0.3">
      <c r="A77">
        <v>674289.1</v>
      </c>
      <c r="B77">
        <v>640261.56607638113</v>
      </c>
      <c r="C77">
        <f t="shared" si="1"/>
        <v>34027.533923618845</v>
      </c>
    </row>
    <row r="78" spans="1:3" x14ac:dyDescent="0.3">
      <c r="A78">
        <v>647512.85</v>
      </c>
      <c r="B78">
        <v>613590.84904371202</v>
      </c>
      <c r="C78">
        <f t="shared" si="1"/>
        <v>33922.000956287957</v>
      </c>
    </row>
    <row r="79" spans="1:3" x14ac:dyDescent="0.3">
      <c r="A79">
        <v>654317.09</v>
      </c>
      <c r="B79">
        <v>621078.05389147555</v>
      </c>
      <c r="C79">
        <f t="shared" si="1"/>
        <v>33239.036108524422</v>
      </c>
    </row>
    <row r="80" spans="1:3" x14ac:dyDescent="0.3">
      <c r="A80">
        <v>614800.09</v>
      </c>
      <c r="B80">
        <v>584577.82694219751</v>
      </c>
      <c r="C80">
        <f t="shared" si="1"/>
        <v>30222.263057802455</v>
      </c>
    </row>
    <row r="81" spans="1:3" x14ac:dyDescent="0.3">
      <c r="A81">
        <v>745580.51</v>
      </c>
      <c r="B81">
        <v>716225.72130990855</v>
      </c>
      <c r="C81">
        <f t="shared" si="1"/>
        <v>29354.78869009146</v>
      </c>
    </row>
    <row r="82" spans="1:3" x14ac:dyDescent="0.3">
      <c r="A82">
        <v>804975.5</v>
      </c>
      <c r="B82">
        <v>775838.34940936742</v>
      </c>
      <c r="C82">
        <f t="shared" si="1"/>
        <v>29137.150590632576</v>
      </c>
    </row>
    <row r="83" spans="1:3" x14ac:dyDescent="0.3">
      <c r="A83">
        <v>727957.48</v>
      </c>
      <c r="B83">
        <v>701378.29924930295</v>
      </c>
      <c r="C83">
        <f t="shared" si="1"/>
        <v>26579.180750697036</v>
      </c>
    </row>
    <row r="84" spans="1:3" x14ac:dyDescent="0.3">
      <c r="A84">
        <v>802001.68</v>
      </c>
      <c r="B84">
        <v>776233.32588672999</v>
      </c>
      <c r="C84">
        <f t="shared" si="1"/>
        <v>25768.354113270063</v>
      </c>
    </row>
    <row r="85" spans="1:3" x14ac:dyDescent="0.3">
      <c r="A85">
        <v>887537.75</v>
      </c>
      <c r="B85">
        <v>861899.73194036353</v>
      </c>
      <c r="C85">
        <f t="shared" si="1"/>
        <v>25638.018059636466</v>
      </c>
    </row>
    <row r="86" spans="1:3" x14ac:dyDescent="0.3">
      <c r="A86">
        <v>743348.84</v>
      </c>
      <c r="B86">
        <v>717819.41636380053</v>
      </c>
      <c r="C86">
        <f t="shared" si="1"/>
        <v>25529.423636199441</v>
      </c>
    </row>
    <row r="87" spans="1:3" x14ac:dyDescent="0.3">
      <c r="A87">
        <v>769702.76</v>
      </c>
      <c r="B87">
        <v>744259.02598596201</v>
      </c>
      <c r="C87">
        <f t="shared" si="1"/>
        <v>25443.734014037997</v>
      </c>
    </row>
    <row r="88" spans="1:3" x14ac:dyDescent="0.3">
      <c r="A88">
        <v>739852.58</v>
      </c>
      <c r="B88">
        <v>714598.84237037855</v>
      </c>
      <c r="C88">
        <f t="shared" si="1"/>
        <v>25253.737629621406</v>
      </c>
    </row>
    <row r="89" spans="1:3" x14ac:dyDescent="0.3">
      <c r="A89">
        <v>738548.42</v>
      </c>
      <c r="B89">
        <v>713370.17338849953</v>
      </c>
      <c r="C89">
        <f t="shared" si="1"/>
        <v>25178.246611500508</v>
      </c>
    </row>
    <row r="90" spans="1:3" x14ac:dyDescent="0.3">
      <c r="A90">
        <v>725847.99</v>
      </c>
      <c r="B90">
        <v>700843.09130251349</v>
      </c>
      <c r="C90">
        <f t="shared" si="1"/>
        <v>25004.898697486497</v>
      </c>
    </row>
    <row r="91" spans="1:3" x14ac:dyDescent="0.3">
      <c r="A91">
        <v>812152.6</v>
      </c>
      <c r="B91">
        <v>787213.994469219</v>
      </c>
      <c r="C91">
        <f t="shared" si="1"/>
        <v>24938.605530780973</v>
      </c>
    </row>
    <row r="92" spans="1:3" x14ac:dyDescent="0.3">
      <c r="A92">
        <v>849018.3</v>
      </c>
      <c r="B92">
        <v>824887.74248842953</v>
      </c>
      <c r="C92">
        <f t="shared" si="1"/>
        <v>24130.557511570514</v>
      </c>
    </row>
    <row r="93" spans="1:3" x14ac:dyDescent="0.3">
      <c r="A93">
        <v>605178</v>
      </c>
      <c r="B93">
        <v>582147.53765742097</v>
      </c>
      <c r="C93">
        <f t="shared" si="1"/>
        <v>23030.462342579034</v>
      </c>
    </row>
    <row r="94" spans="1:3" x14ac:dyDescent="0.3">
      <c r="A94">
        <v>746677.75</v>
      </c>
      <c r="B94">
        <v>723768.57068315148</v>
      </c>
      <c r="C94">
        <f t="shared" si="1"/>
        <v>22909.179316848516</v>
      </c>
    </row>
    <row r="95" spans="1:3" x14ac:dyDescent="0.3">
      <c r="A95">
        <v>729424.42</v>
      </c>
      <c r="B95">
        <v>706671.65547811158</v>
      </c>
      <c r="C95">
        <f t="shared" si="1"/>
        <v>22752.764521888457</v>
      </c>
    </row>
    <row r="96" spans="1:3" x14ac:dyDescent="0.3">
      <c r="A96">
        <v>714083.68</v>
      </c>
      <c r="B96">
        <v>691520.64776077855</v>
      </c>
      <c r="C96">
        <f t="shared" si="1"/>
        <v>22563.032239221502</v>
      </c>
    </row>
    <row r="97" spans="1:3" x14ac:dyDescent="0.3">
      <c r="A97">
        <v>675177.68</v>
      </c>
      <c r="B97">
        <v>652928.431971265</v>
      </c>
      <c r="C97">
        <f t="shared" si="1"/>
        <v>22249.248028735048</v>
      </c>
    </row>
    <row r="98" spans="1:3" x14ac:dyDescent="0.3">
      <c r="A98">
        <v>536545.49</v>
      </c>
      <c r="B98">
        <v>514639.00863639696</v>
      </c>
      <c r="C98">
        <f t="shared" si="1"/>
        <v>21906.48136360303</v>
      </c>
    </row>
    <row r="99" spans="1:3" x14ac:dyDescent="0.3">
      <c r="A99">
        <v>605023.87</v>
      </c>
      <c r="B99">
        <v>583369.12153427291</v>
      </c>
      <c r="C99">
        <f t="shared" si="1"/>
        <v>21654.748465727083</v>
      </c>
    </row>
    <row r="100" spans="1:3" x14ac:dyDescent="0.3">
      <c r="A100">
        <v>636613.23</v>
      </c>
      <c r="B100">
        <v>615374.31027253892</v>
      </c>
      <c r="C100">
        <f t="shared" si="1"/>
        <v>21238.919727461063</v>
      </c>
    </row>
    <row r="101" spans="1:3" x14ac:dyDescent="0.3">
      <c r="A101">
        <v>763159.92</v>
      </c>
      <c r="B101">
        <v>742039.99490925111</v>
      </c>
      <c r="C101">
        <f t="shared" si="1"/>
        <v>21119.925090748933</v>
      </c>
    </row>
    <row r="102" spans="1:3" x14ac:dyDescent="0.3">
      <c r="A102">
        <v>664162.49</v>
      </c>
      <c r="B102">
        <v>643132.88020105509</v>
      </c>
      <c r="C102">
        <f t="shared" si="1"/>
        <v>21029.609798944904</v>
      </c>
    </row>
    <row r="103" spans="1:3" x14ac:dyDescent="0.3">
      <c r="A103">
        <v>518049.26</v>
      </c>
      <c r="B103">
        <v>497284.417117659</v>
      </c>
      <c r="C103">
        <f t="shared" si="1"/>
        <v>20764.842882341007</v>
      </c>
    </row>
    <row r="104" spans="1:3" x14ac:dyDescent="0.3">
      <c r="A104">
        <v>532644.46</v>
      </c>
      <c r="B104">
        <v>512658.33838858199</v>
      </c>
      <c r="C104">
        <f t="shared" si="1"/>
        <v>19986.12161141797</v>
      </c>
    </row>
    <row r="105" spans="1:3" x14ac:dyDescent="0.3">
      <c r="A105">
        <v>569100.78</v>
      </c>
      <c r="B105">
        <v>549191.25501810643</v>
      </c>
      <c r="C105">
        <f t="shared" si="1"/>
        <v>19909.524981893599</v>
      </c>
    </row>
    <row r="106" spans="1:3" x14ac:dyDescent="0.3">
      <c r="A106">
        <v>697888.09</v>
      </c>
      <c r="B106">
        <v>678026.03093651461</v>
      </c>
      <c r="C106">
        <f t="shared" si="1"/>
        <v>19862.059063485358</v>
      </c>
    </row>
    <row r="107" spans="1:3" x14ac:dyDescent="0.3">
      <c r="A107">
        <v>834017.02</v>
      </c>
      <c r="B107">
        <v>814600.49370820646</v>
      </c>
      <c r="C107">
        <f t="shared" si="1"/>
        <v>19416.526291793562</v>
      </c>
    </row>
    <row r="108" spans="1:3" x14ac:dyDescent="0.3">
      <c r="A108">
        <v>828219.67</v>
      </c>
      <c r="B108">
        <v>809046.79956294596</v>
      </c>
      <c r="C108">
        <f t="shared" si="1"/>
        <v>19172.87043705408</v>
      </c>
    </row>
    <row r="109" spans="1:3" x14ac:dyDescent="0.3">
      <c r="A109">
        <v>550962.93000000005</v>
      </c>
      <c r="B109">
        <v>531837.61849834141</v>
      </c>
      <c r="C109">
        <f t="shared" si="1"/>
        <v>19125.311501658638</v>
      </c>
    </row>
    <row r="110" spans="1:3" x14ac:dyDescent="0.3">
      <c r="A110">
        <v>715097.57</v>
      </c>
      <c r="B110">
        <v>697185.79263002344</v>
      </c>
      <c r="C110">
        <f t="shared" si="1"/>
        <v>17911.777369976509</v>
      </c>
    </row>
    <row r="111" spans="1:3" x14ac:dyDescent="0.3">
      <c r="A111">
        <v>806615.54</v>
      </c>
      <c r="B111">
        <v>789166.11286286754</v>
      </c>
      <c r="C111">
        <f t="shared" si="1"/>
        <v>17449.427137132501</v>
      </c>
    </row>
    <row r="112" spans="1:3" x14ac:dyDescent="0.3">
      <c r="A112">
        <v>695098.51</v>
      </c>
      <c r="B112">
        <v>678138.29660131806</v>
      </c>
      <c r="C112">
        <f t="shared" si="1"/>
        <v>16960.213398681954</v>
      </c>
    </row>
    <row r="113" spans="1:3" x14ac:dyDescent="0.3">
      <c r="A113">
        <v>750471.34</v>
      </c>
      <c r="B113">
        <v>733587.03238021699</v>
      </c>
      <c r="C113">
        <f t="shared" si="1"/>
        <v>16884.30761978298</v>
      </c>
    </row>
    <row r="114" spans="1:3" x14ac:dyDescent="0.3">
      <c r="A114">
        <v>771129.07</v>
      </c>
      <c r="B114">
        <v>754671.05148908705</v>
      </c>
      <c r="C114">
        <f t="shared" si="1"/>
        <v>16458.018510912894</v>
      </c>
    </row>
    <row r="115" spans="1:3" x14ac:dyDescent="0.3">
      <c r="A115">
        <v>810446.53</v>
      </c>
      <c r="B115">
        <v>794283.75106072845</v>
      </c>
      <c r="C115">
        <f t="shared" si="1"/>
        <v>16162.778939271579</v>
      </c>
    </row>
    <row r="116" spans="1:3" x14ac:dyDescent="0.3">
      <c r="A116">
        <v>592195.85</v>
      </c>
      <c r="B116">
        <v>576161.43343534099</v>
      </c>
      <c r="C116">
        <f t="shared" si="1"/>
        <v>16034.416564658983</v>
      </c>
    </row>
    <row r="117" spans="1:3" x14ac:dyDescent="0.3">
      <c r="A117">
        <v>712219.81</v>
      </c>
      <c r="B117">
        <v>696660.68790280947</v>
      </c>
      <c r="C117">
        <f t="shared" si="1"/>
        <v>15559.122097190586</v>
      </c>
    </row>
    <row r="118" spans="1:3" x14ac:dyDescent="0.3">
      <c r="A118">
        <v>702052.47</v>
      </c>
      <c r="B118">
        <v>686512.37164572801</v>
      </c>
      <c r="C118">
        <f t="shared" si="1"/>
        <v>15540.098354271962</v>
      </c>
    </row>
    <row r="119" spans="1:3" x14ac:dyDescent="0.3">
      <c r="A119">
        <v>487738.26</v>
      </c>
      <c r="B119">
        <v>472320.84508134198</v>
      </c>
      <c r="C119">
        <f t="shared" si="1"/>
        <v>15417.414918658033</v>
      </c>
    </row>
    <row r="120" spans="1:3" x14ac:dyDescent="0.3">
      <c r="A120">
        <v>780344.18</v>
      </c>
      <c r="B120">
        <v>766120.50986641867</v>
      </c>
      <c r="C120">
        <f t="shared" si="1"/>
        <v>14223.670133581385</v>
      </c>
    </row>
    <row r="121" spans="1:3" x14ac:dyDescent="0.3">
      <c r="A121">
        <v>625672.86</v>
      </c>
      <c r="B121">
        <v>611527.97151042742</v>
      </c>
      <c r="C121">
        <f t="shared" si="1"/>
        <v>14144.888489572564</v>
      </c>
    </row>
    <row r="122" spans="1:3" x14ac:dyDescent="0.3">
      <c r="A122">
        <v>698492.67</v>
      </c>
      <c r="B122">
        <v>684878.95289796242</v>
      </c>
      <c r="C122">
        <f t="shared" si="1"/>
        <v>13613.717102037626</v>
      </c>
    </row>
    <row r="123" spans="1:3" x14ac:dyDescent="0.3">
      <c r="A123">
        <v>764949</v>
      </c>
      <c r="B123">
        <v>751758.40831847</v>
      </c>
      <c r="C123">
        <f t="shared" si="1"/>
        <v>13190.591681530001</v>
      </c>
    </row>
    <row r="124" spans="1:3" x14ac:dyDescent="0.3">
      <c r="A124">
        <v>536845.42000000004</v>
      </c>
      <c r="B124">
        <v>523874.15521790902</v>
      </c>
      <c r="C124">
        <f t="shared" si="1"/>
        <v>12971.264782091021</v>
      </c>
    </row>
    <row r="125" spans="1:3" x14ac:dyDescent="0.3">
      <c r="A125">
        <v>737070.18</v>
      </c>
      <c r="B125">
        <v>724590.65541911498</v>
      </c>
      <c r="C125">
        <f t="shared" si="1"/>
        <v>12479.524580885074</v>
      </c>
    </row>
    <row r="126" spans="1:3" x14ac:dyDescent="0.3">
      <c r="A126">
        <v>537383.79</v>
      </c>
      <c r="B126">
        <v>525898.27827355952</v>
      </c>
      <c r="C126">
        <f t="shared" si="1"/>
        <v>11485.511726440513</v>
      </c>
    </row>
    <row r="127" spans="1:3" x14ac:dyDescent="0.3">
      <c r="A127">
        <v>606278.30000000005</v>
      </c>
      <c r="B127">
        <v>594887.21876282757</v>
      </c>
      <c r="C127">
        <f t="shared" si="1"/>
        <v>11391.081237172475</v>
      </c>
    </row>
    <row r="128" spans="1:3" x14ac:dyDescent="0.3">
      <c r="A128">
        <v>678311.17</v>
      </c>
      <c r="B128">
        <v>667018.31843218207</v>
      </c>
      <c r="C128">
        <f t="shared" si="1"/>
        <v>11292.851567817968</v>
      </c>
    </row>
    <row r="129" spans="1:3" x14ac:dyDescent="0.3">
      <c r="A129">
        <v>712868.35</v>
      </c>
      <c r="B129">
        <v>701599.62828349089</v>
      </c>
      <c r="C129">
        <f t="shared" si="1"/>
        <v>11268.721716509084</v>
      </c>
    </row>
    <row r="130" spans="1:3" x14ac:dyDescent="0.3">
      <c r="A130">
        <v>701641.97</v>
      </c>
      <c r="B130">
        <v>690374.11465656501</v>
      </c>
      <c r="C130">
        <f t="shared" si="1"/>
        <v>11267.85534343496</v>
      </c>
    </row>
    <row r="131" spans="1:3" x14ac:dyDescent="0.3">
      <c r="A131">
        <v>646559.71</v>
      </c>
      <c r="B131">
        <v>635553.04105854256</v>
      </c>
      <c r="C131">
        <f t="shared" ref="C131:C194" si="2">A131-B131</f>
        <v>11006.668941457407</v>
      </c>
    </row>
    <row r="132" spans="1:3" x14ac:dyDescent="0.3">
      <c r="A132">
        <v>712375.77</v>
      </c>
      <c r="B132">
        <v>701655.3422906741</v>
      </c>
      <c r="C132">
        <f t="shared" si="2"/>
        <v>10720.427709325915</v>
      </c>
    </row>
    <row r="133" spans="1:3" x14ac:dyDescent="0.3">
      <c r="A133">
        <v>606783.67000000004</v>
      </c>
      <c r="B133">
        <v>596472.2565325005</v>
      </c>
      <c r="C133">
        <f t="shared" si="2"/>
        <v>10311.413467499544</v>
      </c>
    </row>
    <row r="134" spans="1:3" x14ac:dyDescent="0.3">
      <c r="A134">
        <v>844710.67</v>
      </c>
      <c r="B134">
        <v>834693.270177442</v>
      </c>
      <c r="C134">
        <f t="shared" si="2"/>
        <v>10017.399822558044</v>
      </c>
    </row>
    <row r="135" spans="1:3" x14ac:dyDescent="0.3">
      <c r="A135">
        <v>645039.97</v>
      </c>
      <c r="B135">
        <v>635513.08658367558</v>
      </c>
      <c r="C135">
        <f t="shared" si="2"/>
        <v>9526.8834163243882</v>
      </c>
    </row>
    <row r="136" spans="1:3" x14ac:dyDescent="0.3">
      <c r="A136">
        <v>729440.45</v>
      </c>
      <c r="B136">
        <v>719925.8512580411</v>
      </c>
      <c r="C136">
        <f t="shared" si="2"/>
        <v>9514.5987419588491</v>
      </c>
    </row>
    <row r="137" spans="1:3" x14ac:dyDescent="0.3">
      <c r="A137">
        <v>672670.54</v>
      </c>
      <c r="B137">
        <v>664097.36123999604</v>
      </c>
      <c r="C137">
        <f t="shared" si="2"/>
        <v>8573.178760003997</v>
      </c>
    </row>
    <row r="138" spans="1:3" x14ac:dyDescent="0.3">
      <c r="A138">
        <v>585365.73</v>
      </c>
      <c r="B138">
        <v>577078.50610687607</v>
      </c>
      <c r="C138">
        <f t="shared" si="2"/>
        <v>8287.2238931239117</v>
      </c>
    </row>
    <row r="139" spans="1:3" x14ac:dyDescent="0.3">
      <c r="A139">
        <v>740496.65</v>
      </c>
      <c r="B139">
        <v>732510.51497836004</v>
      </c>
      <c r="C139">
        <f t="shared" si="2"/>
        <v>7986.1350216399878</v>
      </c>
    </row>
    <row r="140" spans="1:3" x14ac:dyDescent="0.3">
      <c r="A140">
        <v>555929.4</v>
      </c>
      <c r="B140">
        <v>548894.59944695549</v>
      </c>
      <c r="C140">
        <f t="shared" si="2"/>
        <v>7034.8005530445371</v>
      </c>
    </row>
    <row r="141" spans="1:3" x14ac:dyDescent="0.3">
      <c r="A141">
        <v>574436.29</v>
      </c>
      <c r="B141">
        <v>567786.51835416653</v>
      </c>
      <c r="C141">
        <f t="shared" si="2"/>
        <v>6649.7716458335053</v>
      </c>
    </row>
    <row r="142" spans="1:3" x14ac:dyDescent="0.3">
      <c r="A142">
        <v>533121.26</v>
      </c>
      <c r="B142">
        <v>526916.9989460319</v>
      </c>
      <c r="C142">
        <f t="shared" si="2"/>
        <v>6204.2610539681045</v>
      </c>
    </row>
    <row r="143" spans="1:3" x14ac:dyDescent="0.3">
      <c r="A143">
        <v>820729.29</v>
      </c>
      <c r="B143">
        <v>814702.75398472103</v>
      </c>
      <c r="C143">
        <f t="shared" si="2"/>
        <v>6026.536015279009</v>
      </c>
    </row>
    <row r="144" spans="1:3" x14ac:dyDescent="0.3">
      <c r="A144">
        <v>732667.92</v>
      </c>
      <c r="B144">
        <v>727626.29727331107</v>
      </c>
      <c r="C144">
        <f t="shared" si="2"/>
        <v>5041.6227266889764</v>
      </c>
    </row>
    <row r="145" spans="1:3" x14ac:dyDescent="0.3">
      <c r="A145">
        <v>528852.62</v>
      </c>
      <c r="B145">
        <v>524189.7597195555</v>
      </c>
      <c r="C145">
        <f t="shared" si="2"/>
        <v>4662.8602804444963</v>
      </c>
    </row>
    <row r="146" spans="1:3" x14ac:dyDescent="0.3">
      <c r="A146">
        <v>799756.46</v>
      </c>
      <c r="B146">
        <v>797468.04402299493</v>
      </c>
      <c r="C146">
        <f t="shared" si="2"/>
        <v>2288.4159770050319</v>
      </c>
    </row>
    <row r="147" spans="1:3" x14ac:dyDescent="0.3">
      <c r="A147">
        <v>665594.93999999994</v>
      </c>
      <c r="B147">
        <v>663409.58446305455</v>
      </c>
      <c r="C147">
        <f t="shared" si="2"/>
        <v>2185.355536945397</v>
      </c>
    </row>
    <row r="148" spans="1:3" x14ac:dyDescent="0.3">
      <c r="A148">
        <v>828623.85</v>
      </c>
      <c r="B148">
        <v>826594.52880777849</v>
      </c>
      <c r="C148">
        <f t="shared" si="2"/>
        <v>2029.3211922214832</v>
      </c>
    </row>
    <row r="149" spans="1:3" x14ac:dyDescent="0.3">
      <c r="A149">
        <v>746115.59</v>
      </c>
      <c r="B149">
        <v>744293.14904170099</v>
      </c>
      <c r="C149">
        <f t="shared" si="2"/>
        <v>1822.4409582989756</v>
      </c>
    </row>
    <row r="150" spans="1:3" x14ac:dyDescent="0.3">
      <c r="A150">
        <v>603297.56999999995</v>
      </c>
      <c r="B150">
        <v>601779.31176459359</v>
      </c>
      <c r="C150">
        <f t="shared" si="2"/>
        <v>1518.2582354063634</v>
      </c>
    </row>
    <row r="151" spans="1:3" x14ac:dyDescent="0.3">
      <c r="A151">
        <v>616069.41</v>
      </c>
      <c r="B151">
        <v>614973.33384111896</v>
      </c>
      <c r="C151">
        <f t="shared" si="2"/>
        <v>1096.076158881071</v>
      </c>
    </row>
    <row r="152" spans="1:3" x14ac:dyDescent="0.3">
      <c r="A152">
        <v>500298.48</v>
      </c>
      <c r="B152">
        <v>499208.27580065205</v>
      </c>
      <c r="C152">
        <f t="shared" si="2"/>
        <v>1090.2041993479361</v>
      </c>
    </row>
    <row r="153" spans="1:3" x14ac:dyDescent="0.3">
      <c r="A153">
        <v>783797.89</v>
      </c>
      <c r="B153">
        <v>782910.12974405254</v>
      </c>
      <c r="C153">
        <f t="shared" si="2"/>
        <v>887.76025594747625</v>
      </c>
    </row>
    <row r="154" spans="1:3" x14ac:dyDescent="0.3">
      <c r="A154">
        <v>702318.94</v>
      </c>
      <c r="B154">
        <v>701988.40370542102</v>
      </c>
      <c r="C154">
        <f t="shared" si="2"/>
        <v>330.53629457892384</v>
      </c>
    </row>
    <row r="155" spans="1:3" x14ac:dyDescent="0.3">
      <c r="A155">
        <v>622892.42000000004</v>
      </c>
      <c r="B155">
        <v>622891.18807054963</v>
      </c>
      <c r="C155">
        <f t="shared" si="2"/>
        <v>1.2319294504122809</v>
      </c>
    </row>
    <row r="156" spans="1:3" x14ac:dyDescent="0.3">
      <c r="A156">
        <v>801830.35</v>
      </c>
      <c r="B156">
        <v>802927.08863828948</v>
      </c>
      <c r="C156">
        <f t="shared" si="2"/>
        <v>-1096.7386382895056</v>
      </c>
    </row>
    <row r="157" spans="1:3" x14ac:dyDescent="0.3">
      <c r="A157">
        <v>668459.37</v>
      </c>
      <c r="B157">
        <v>669685.467635134</v>
      </c>
      <c r="C157">
        <f t="shared" si="2"/>
        <v>-1226.0976351340069</v>
      </c>
    </row>
    <row r="158" spans="1:3" x14ac:dyDescent="0.3">
      <c r="A158">
        <v>679888.74</v>
      </c>
      <c r="B158">
        <v>681265.09869112703</v>
      </c>
      <c r="C158">
        <f t="shared" si="2"/>
        <v>-1376.3586911270395</v>
      </c>
    </row>
    <row r="159" spans="1:3" x14ac:dyDescent="0.3">
      <c r="A159">
        <v>640666.53</v>
      </c>
      <c r="B159">
        <v>642136.91719715646</v>
      </c>
      <c r="C159">
        <f t="shared" si="2"/>
        <v>-1470.3871971564367</v>
      </c>
    </row>
    <row r="160" spans="1:3" x14ac:dyDescent="0.3">
      <c r="A160">
        <v>825060.52</v>
      </c>
      <c r="B160">
        <v>826997.42038802104</v>
      </c>
      <c r="C160">
        <f t="shared" si="2"/>
        <v>-1936.9003880210221</v>
      </c>
    </row>
    <row r="161" spans="1:3" x14ac:dyDescent="0.3">
      <c r="A161">
        <v>724346.73</v>
      </c>
      <c r="B161">
        <v>727480.96427174704</v>
      </c>
      <c r="C161">
        <f t="shared" si="2"/>
        <v>-3134.2342717470601</v>
      </c>
    </row>
    <row r="162" spans="1:3" x14ac:dyDescent="0.3">
      <c r="A162">
        <v>605775.32999999996</v>
      </c>
      <c r="B162">
        <v>609301.61430112005</v>
      </c>
      <c r="C162">
        <f t="shared" si="2"/>
        <v>-3526.2843011200894</v>
      </c>
    </row>
    <row r="163" spans="1:3" x14ac:dyDescent="0.3">
      <c r="A163">
        <v>605751.32999999996</v>
      </c>
      <c r="B163">
        <v>609459.47592702985</v>
      </c>
      <c r="C163">
        <f t="shared" si="2"/>
        <v>-3708.1459270298947</v>
      </c>
    </row>
    <row r="164" spans="1:3" x14ac:dyDescent="0.3">
      <c r="A164">
        <v>670629.48</v>
      </c>
      <c r="B164">
        <v>675055.27209292096</v>
      </c>
      <c r="C164">
        <f t="shared" si="2"/>
        <v>-4425.7920929209795</v>
      </c>
    </row>
    <row r="165" spans="1:3" x14ac:dyDescent="0.3">
      <c r="A165">
        <v>855341.28</v>
      </c>
      <c r="B165">
        <v>859807.26517041656</v>
      </c>
      <c r="C165">
        <f t="shared" si="2"/>
        <v>-4465.9851704165339</v>
      </c>
    </row>
    <row r="166" spans="1:3" x14ac:dyDescent="0.3">
      <c r="A166">
        <v>497439.82</v>
      </c>
      <c r="B166">
        <v>502036.79202793154</v>
      </c>
      <c r="C166">
        <f t="shared" si="2"/>
        <v>-4596.972027931537</v>
      </c>
    </row>
    <row r="167" spans="1:3" x14ac:dyDescent="0.3">
      <c r="A167">
        <v>598904.9</v>
      </c>
      <c r="B167">
        <v>603689.62838498957</v>
      </c>
      <c r="C167">
        <f t="shared" si="2"/>
        <v>-4784.7283849895466</v>
      </c>
    </row>
    <row r="168" spans="1:3" x14ac:dyDescent="0.3">
      <c r="A168">
        <v>712546.38</v>
      </c>
      <c r="B168">
        <v>717392.78108591994</v>
      </c>
      <c r="C168">
        <f t="shared" si="2"/>
        <v>-4846.4010859199334</v>
      </c>
    </row>
    <row r="169" spans="1:3" x14ac:dyDescent="0.3">
      <c r="A169">
        <v>559422.02</v>
      </c>
      <c r="B169">
        <v>564873.52503412706</v>
      </c>
      <c r="C169">
        <f t="shared" si="2"/>
        <v>-5451.5050341270398</v>
      </c>
    </row>
    <row r="170" spans="1:3" x14ac:dyDescent="0.3">
      <c r="A170">
        <v>751393.88</v>
      </c>
      <c r="B170">
        <v>756910.94548383751</v>
      </c>
      <c r="C170">
        <f t="shared" si="2"/>
        <v>-5517.0654838375049</v>
      </c>
    </row>
    <row r="171" spans="1:3" x14ac:dyDescent="0.3">
      <c r="A171">
        <v>783672.82</v>
      </c>
      <c r="B171">
        <v>789252.74275477801</v>
      </c>
      <c r="C171">
        <f t="shared" si="2"/>
        <v>-5579.9227547780611</v>
      </c>
    </row>
    <row r="172" spans="1:3" x14ac:dyDescent="0.3">
      <c r="A172">
        <v>609949</v>
      </c>
      <c r="B172">
        <v>615977.39810244541</v>
      </c>
      <c r="C172">
        <f t="shared" si="2"/>
        <v>-6028.3981024454115</v>
      </c>
    </row>
    <row r="173" spans="1:3" x14ac:dyDescent="0.3">
      <c r="A173">
        <v>761919.25</v>
      </c>
      <c r="B173">
        <v>768358.94903545745</v>
      </c>
      <c r="C173">
        <f t="shared" si="2"/>
        <v>-6439.6990354574518</v>
      </c>
    </row>
    <row r="174" spans="1:3" x14ac:dyDescent="0.3">
      <c r="A174">
        <v>761963.23</v>
      </c>
      <c r="B174">
        <v>768599.10945481248</v>
      </c>
      <c r="C174">
        <f t="shared" si="2"/>
        <v>-6635.8794548125006</v>
      </c>
    </row>
    <row r="175" spans="1:3" x14ac:dyDescent="0.3">
      <c r="A175">
        <v>836908.24</v>
      </c>
      <c r="B175">
        <v>843789.99023971357</v>
      </c>
      <c r="C175">
        <f t="shared" si="2"/>
        <v>-6881.7502397135831</v>
      </c>
    </row>
    <row r="176" spans="1:3" x14ac:dyDescent="0.3">
      <c r="A176">
        <v>691113.62</v>
      </c>
      <c r="B176">
        <v>698097.50886016048</v>
      </c>
      <c r="C176">
        <f t="shared" si="2"/>
        <v>-6983.8888601604849</v>
      </c>
    </row>
    <row r="177" spans="1:3" x14ac:dyDescent="0.3">
      <c r="A177">
        <v>498970.32</v>
      </c>
      <c r="B177">
        <v>506092.57430877653</v>
      </c>
      <c r="C177">
        <f t="shared" si="2"/>
        <v>-7122.2543087765225</v>
      </c>
    </row>
    <row r="178" spans="1:3" x14ac:dyDescent="0.3">
      <c r="A178">
        <v>708985.19</v>
      </c>
      <c r="B178">
        <v>716191.6900160365</v>
      </c>
      <c r="C178">
        <f t="shared" si="2"/>
        <v>-7206.5000160365598</v>
      </c>
    </row>
    <row r="179" spans="1:3" x14ac:dyDescent="0.3">
      <c r="A179">
        <v>614596.31999999995</v>
      </c>
      <c r="B179">
        <v>621814.83340693649</v>
      </c>
      <c r="C179">
        <f t="shared" si="2"/>
        <v>-7218.5134069365449</v>
      </c>
    </row>
    <row r="180" spans="1:3" x14ac:dyDescent="0.3">
      <c r="A180">
        <v>946833.54</v>
      </c>
      <c r="B180">
        <v>954431.03935467859</v>
      </c>
      <c r="C180">
        <f t="shared" si="2"/>
        <v>-7597.4993546785554</v>
      </c>
    </row>
    <row r="181" spans="1:3" x14ac:dyDescent="0.3">
      <c r="A181">
        <v>819660.59</v>
      </c>
      <c r="B181">
        <v>827269.98061873205</v>
      </c>
      <c r="C181">
        <f t="shared" si="2"/>
        <v>-7609.3906187320827</v>
      </c>
    </row>
    <row r="182" spans="1:3" x14ac:dyDescent="0.3">
      <c r="A182">
        <v>633494.21</v>
      </c>
      <c r="B182">
        <v>641110.76094777242</v>
      </c>
      <c r="C182">
        <f t="shared" si="2"/>
        <v>-7616.5509477724554</v>
      </c>
    </row>
    <row r="183" spans="1:3" x14ac:dyDescent="0.3">
      <c r="A183">
        <v>570964.84</v>
      </c>
      <c r="B183">
        <v>579174.65768036002</v>
      </c>
      <c r="C183">
        <f t="shared" si="2"/>
        <v>-8209.8176803600509</v>
      </c>
    </row>
    <row r="184" spans="1:3" x14ac:dyDescent="0.3">
      <c r="A184">
        <v>665534.69999999995</v>
      </c>
      <c r="B184">
        <v>673827.85096377903</v>
      </c>
      <c r="C184">
        <f t="shared" si="2"/>
        <v>-8293.1509637790732</v>
      </c>
    </row>
    <row r="185" spans="1:3" x14ac:dyDescent="0.3">
      <c r="A185">
        <v>692008.64</v>
      </c>
      <c r="B185">
        <v>700311.45801829302</v>
      </c>
      <c r="C185">
        <f t="shared" si="2"/>
        <v>-8302.8180182930082</v>
      </c>
    </row>
    <row r="186" spans="1:3" x14ac:dyDescent="0.3">
      <c r="A186">
        <v>635837.74</v>
      </c>
      <c r="B186">
        <v>644548.55340985651</v>
      </c>
      <c r="C186">
        <f t="shared" si="2"/>
        <v>-8710.8134098565206</v>
      </c>
    </row>
    <row r="187" spans="1:3" x14ac:dyDescent="0.3">
      <c r="A187">
        <v>700078.32</v>
      </c>
      <c r="B187">
        <v>708889.88303824654</v>
      </c>
      <c r="C187">
        <f t="shared" si="2"/>
        <v>-8811.5630382465897</v>
      </c>
    </row>
    <row r="188" spans="1:3" x14ac:dyDescent="0.3">
      <c r="A188">
        <v>756619.77</v>
      </c>
      <c r="B188">
        <v>765448.13354066154</v>
      </c>
      <c r="C188">
        <f t="shared" si="2"/>
        <v>-8828.3635406615213</v>
      </c>
    </row>
    <row r="189" spans="1:3" x14ac:dyDescent="0.3">
      <c r="A189">
        <v>572011.19999999995</v>
      </c>
      <c r="B189">
        <v>581135.61265262857</v>
      </c>
      <c r="C189">
        <f t="shared" si="2"/>
        <v>-9124.4126526286127</v>
      </c>
    </row>
    <row r="190" spans="1:3" x14ac:dyDescent="0.3">
      <c r="A190">
        <v>647953.78</v>
      </c>
      <c r="B190">
        <v>657141.34627753962</v>
      </c>
      <c r="C190">
        <f t="shared" si="2"/>
        <v>-9187.5662775395904</v>
      </c>
    </row>
    <row r="191" spans="1:3" x14ac:dyDescent="0.3">
      <c r="A191">
        <v>702068.92</v>
      </c>
      <c r="B191">
        <v>711295.14879728656</v>
      </c>
      <c r="C191">
        <f t="shared" si="2"/>
        <v>-9226.2287972865161</v>
      </c>
    </row>
    <row r="192" spans="1:3" x14ac:dyDescent="0.3">
      <c r="A192">
        <v>726776.22</v>
      </c>
      <c r="B192">
        <v>736135.65312768705</v>
      </c>
      <c r="C192">
        <f t="shared" si="2"/>
        <v>-9359.4331276870798</v>
      </c>
    </row>
    <row r="193" spans="1:3" x14ac:dyDescent="0.3">
      <c r="A193">
        <v>643657.47</v>
      </c>
      <c r="B193">
        <v>653271.57792847697</v>
      </c>
      <c r="C193">
        <f t="shared" si="2"/>
        <v>-9614.1079284769949</v>
      </c>
    </row>
    <row r="194" spans="1:3" x14ac:dyDescent="0.3">
      <c r="A194">
        <v>810355.02</v>
      </c>
      <c r="B194">
        <v>820004.20453664241</v>
      </c>
      <c r="C194">
        <f t="shared" si="2"/>
        <v>-9649.184536642395</v>
      </c>
    </row>
    <row r="195" spans="1:3" x14ac:dyDescent="0.3">
      <c r="A195">
        <v>761077.08</v>
      </c>
      <c r="B195">
        <v>771179.06197028444</v>
      </c>
      <c r="C195">
        <f t="shared" ref="C195:C258" si="3">A195-B195</f>
        <v>-10101.981970284483</v>
      </c>
    </row>
    <row r="196" spans="1:3" x14ac:dyDescent="0.3">
      <c r="A196">
        <v>565810.99</v>
      </c>
      <c r="B196">
        <v>576350.97625441453</v>
      </c>
      <c r="C196">
        <f t="shared" si="3"/>
        <v>-10539.986254414544</v>
      </c>
    </row>
    <row r="197" spans="1:3" x14ac:dyDescent="0.3">
      <c r="A197">
        <v>450711.92</v>
      </c>
      <c r="B197">
        <v>461606.582380648</v>
      </c>
      <c r="C197">
        <f t="shared" si="3"/>
        <v>-10894.66238064802</v>
      </c>
    </row>
    <row r="198" spans="1:3" x14ac:dyDescent="0.3">
      <c r="A198">
        <v>443275.59</v>
      </c>
      <c r="B198">
        <v>454363.67668948194</v>
      </c>
      <c r="C198">
        <f t="shared" si="3"/>
        <v>-11088.086689481919</v>
      </c>
    </row>
    <row r="199" spans="1:3" x14ac:dyDescent="0.3">
      <c r="A199">
        <v>650795.49</v>
      </c>
      <c r="B199">
        <v>662669.92349744204</v>
      </c>
      <c r="C199">
        <f t="shared" si="3"/>
        <v>-11874.433497442049</v>
      </c>
    </row>
    <row r="200" spans="1:3" x14ac:dyDescent="0.3">
      <c r="A200">
        <v>601568.87</v>
      </c>
      <c r="B200">
        <v>613851.97001965495</v>
      </c>
      <c r="C200">
        <f t="shared" si="3"/>
        <v>-12283.100019654958</v>
      </c>
    </row>
    <row r="201" spans="1:3" x14ac:dyDescent="0.3">
      <c r="A201">
        <v>746501.09</v>
      </c>
      <c r="B201">
        <v>758987.50679577654</v>
      </c>
      <c r="C201">
        <f t="shared" si="3"/>
        <v>-12486.416795776575</v>
      </c>
    </row>
    <row r="202" spans="1:3" x14ac:dyDescent="0.3">
      <c r="A202">
        <v>804264</v>
      </c>
      <c r="B202">
        <v>816750.95664369094</v>
      </c>
      <c r="C202">
        <f t="shared" si="3"/>
        <v>-12486.956643690937</v>
      </c>
    </row>
    <row r="203" spans="1:3" x14ac:dyDescent="0.3">
      <c r="A203">
        <v>697155.3</v>
      </c>
      <c r="B203">
        <v>709643.29280637496</v>
      </c>
      <c r="C203">
        <f t="shared" si="3"/>
        <v>-12487.99280637491</v>
      </c>
    </row>
    <row r="204" spans="1:3" x14ac:dyDescent="0.3">
      <c r="A204">
        <v>593247.25</v>
      </c>
      <c r="B204">
        <v>605775.43908286747</v>
      </c>
      <c r="C204">
        <f t="shared" si="3"/>
        <v>-12528.189082867466</v>
      </c>
    </row>
    <row r="205" spans="1:3" x14ac:dyDescent="0.3">
      <c r="A205">
        <v>500173.02</v>
      </c>
      <c r="B205">
        <v>512925.23569891194</v>
      </c>
      <c r="C205">
        <f t="shared" si="3"/>
        <v>-12752.215698911925</v>
      </c>
    </row>
    <row r="206" spans="1:3" x14ac:dyDescent="0.3">
      <c r="A206">
        <v>811452.72</v>
      </c>
      <c r="B206">
        <v>824279.36155896995</v>
      </c>
      <c r="C206">
        <f t="shared" si="3"/>
        <v>-12826.641558969975</v>
      </c>
    </row>
    <row r="207" spans="1:3" x14ac:dyDescent="0.3">
      <c r="A207">
        <v>611924.27</v>
      </c>
      <c r="B207">
        <v>625027.09302456444</v>
      </c>
      <c r="C207">
        <f t="shared" si="3"/>
        <v>-13102.823024564423</v>
      </c>
    </row>
    <row r="208" spans="1:3" x14ac:dyDescent="0.3">
      <c r="A208">
        <v>779010.94</v>
      </c>
      <c r="B208">
        <v>792184.146257816</v>
      </c>
      <c r="C208">
        <f t="shared" si="3"/>
        <v>-13173.206257816055</v>
      </c>
    </row>
    <row r="209" spans="1:3" x14ac:dyDescent="0.3">
      <c r="A209">
        <v>679731.57</v>
      </c>
      <c r="B209">
        <v>693087.86662892648</v>
      </c>
      <c r="C209">
        <f t="shared" si="3"/>
        <v>-13356.296628926531</v>
      </c>
    </row>
    <row r="210" spans="1:3" x14ac:dyDescent="0.3">
      <c r="A210">
        <v>736633.4</v>
      </c>
      <c r="B210">
        <v>749991.85531648912</v>
      </c>
      <c r="C210">
        <f t="shared" si="3"/>
        <v>-13358.455316489097</v>
      </c>
    </row>
    <row r="211" spans="1:3" x14ac:dyDescent="0.3">
      <c r="A211">
        <v>798952.17</v>
      </c>
      <c r="B211">
        <v>812490.68123428198</v>
      </c>
      <c r="C211">
        <f t="shared" si="3"/>
        <v>-13538.511234281934</v>
      </c>
    </row>
    <row r="212" spans="1:3" x14ac:dyDescent="0.3">
      <c r="A212">
        <v>730890.01</v>
      </c>
      <c r="B212">
        <v>744558.53703311249</v>
      </c>
      <c r="C212">
        <f t="shared" si="3"/>
        <v>-13668.527033112478</v>
      </c>
    </row>
    <row r="213" spans="1:3" x14ac:dyDescent="0.3">
      <c r="A213">
        <v>714942.43</v>
      </c>
      <c r="B213">
        <v>728713.24179427105</v>
      </c>
      <c r="C213">
        <f t="shared" si="3"/>
        <v>-13770.811794270994</v>
      </c>
    </row>
    <row r="214" spans="1:3" x14ac:dyDescent="0.3">
      <c r="A214">
        <v>527681.56000000006</v>
      </c>
      <c r="B214">
        <v>541998.16142870311</v>
      </c>
      <c r="C214">
        <f t="shared" si="3"/>
        <v>-14316.601428703056</v>
      </c>
    </row>
    <row r="215" spans="1:3" x14ac:dyDescent="0.3">
      <c r="A215">
        <v>811771.14</v>
      </c>
      <c r="B215">
        <v>826213.9826739534</v>
      </c>
      <c r="C215">
        <f t="shared" si="3"/>
        <v>-14442.84267395339</v>
      </c>
    </row>
    <row r="216" spans="1:3" x14ac:dyDescent="0.3">
      <c r="A216">
        <v>642751.42000000004</v>
      </c>
      <c r="B216">
        <v>657238.16450763249</v>
      </c>
      <c r="C216">
        <f t="shared" si="3"/>
        <v>-14486.744507632451</v>
      </c>
    </row>
    <row r="217" spans="1:3" x14ac:dyDescent="0.3">
      <c r="A217">
        <v>633009.53</v>
      </c>
      <c r="B217">
        <v>648480.19047397096</v>
      </c>
      <c r="C217">
        <f t="shared" si="3"/>
        <v>-15470.660473970929</v>
      </c>
    </row>
    <row r="218" spans="1:3" x14ac:dyDescent="0.3">
      <c r="A218">
        <v>842439.67</v>
      </c>
      <c r="B218">
        <v>858482.70309165004</v>
      </c>
      <c r="C218">
        <f t="shared" si="3"/>
        <v>-16043.033091649995</v>
      </c>
    </row>
    <row r="219" spans="1:3" x14ac:dyDescent="0.3">
      <c r="A219">
        <v>479050.5</v>
      </c>
      <c r="B219">
        <v>495353.12790566747</v>
      </c>
      <c r="C219">
        <f t="shared" si="3"/>
        <v>-16302.627905667468</v>
      </c>
    </row>
    <row r="220" spans="1:3" x14ac:dyDescent="0.3">
      <c r="A220">
        <v>785028.25</v>
      </c>
      <c r="B220">
        <v>802434.94572373445</v>
      </c>
      <c r="C220">
        <f t="shared" si="3"/>
        <v>-17406.695723734447</v>
      </c>
    </row>
    <row r="221" spans="1:3" x14ac:dyDescent="0.3">
      <c r="A221">
        <v>677096.71</v>
      </c>
      <c r="B221">
        <v>695785.98515679489</v>
      </c>
      <c r="C221">
        <f t="shared" si="3"/>
        <v>-18689.275156794931</v>
      </c>
    </row>
    <row r="222" spans="1:3" x14ac:dyDescent="0.3">
      <c r="A222">
        <v>621677.30000000005</v>
      </c>
      <c r="B222">
        <v>640398.94692374102</v>
      </c>
      <c r="C222">
        <f t="shared" si="3"/>
        <v>-18721.646923740976</v>
      </c>
    </row>
    <row r="223" spans="1:3" x14ac:dyDescent="0.3">
      <c r="A223">
        <v>628538.30000000005</v>
      </c>
      <c r="B223">
        <v>647552.28869024001</v>
      </c>
      <c r="C223">
        <f t="shared" si="3"/>
        <v>-19013.988690239959</v>
      </c>
    </row>
    <row r="224" spans="1:3" x14ac:dyDescent="0.3">
      <c r="A224">
        <v>591619.94999999995</v>
      </c>
      <c r="B224">
        <v>610899.88653833955</v>
      </c>
      <c r="C224">
        <f t="shared" si="3"/>
        <v>-19279.936538339593</v>
      </c>
    </row>
    <row r="225" spans="1:3" x14ac:dyDescent="0.3">
      <c r="A225">
        <v>599017.32999999996</v>
      </c>
      <c r="B225">
        <v>618492.60347950505</v>
      </c>
      <c r="C225">
        <f t="shared" si="3"/>
        <v>-19475.273479505093</v>
      </c>
    </row>
    <row r="226" spans="1:3" x14ac:dyDescent="0.3">
      <c r="A226">
        <v>636775.66</v>
      </c>
      <c r="B226">
        <v>656391.69537975895</v>
      </c>
      <c r="C226">
        <f t="shared" si="3"/>
        <v>-19616.03537975892</v>
      </c>
    </row>
    <row r="227" spans="1:3" x14ac:dyDescent="0.3">
      <c r="A227">
        <v>761835.34</v>
      </c>
      <c r="B227">
        <v>781565.20333373151</v>
      </c>
      <c r="C227">
        <f t="shared" si="3"/>
        <v>-19729.86333373154</v>
      </c>
    </row>
    <row r="228" spans="1:3" x14ac:dyDescent="0.3">
      <c r="A228">
        <v>735480.19</v>
      </c>
      <c r="B228">
        <v>755265.48630724696</v>
      </c>
      <c r="C228">
        <f t="shared" si="3"/>
        <v>-19785.296307247016</v>
      </c>
    </row>
    <row r="229" spans="1:3" x14ac:dyDescent="0.3">
      <c r="A229">
        <v>752321.72</v>
      </c>
      <c r="B229">
        <v>772363.39190678101</v>
      </c>
      <c r="C229">
        <f t="shared" si="3"/>
        <v>-20041.671906781034</v>
      </c>
    </row>
    <row r="230" spans="1:3" x14ac:dyDescent="0.3">
      <c r="A230">
        <v>717141.55</v>
      </c>
      <c r="B230">
        <v>737484.20101395354</v>
      </c>
      <c r="C230">
        <f t="shared" si="3"/>
        <v>-20342.651013953495</v>
      </c>
    </row>
    <row r="231" spans="1:3" x14ac:dyDescent="0.3">
      <c r="A231">
        <v>784502.68</v>
      </c>
      <c r="B231">
        <v>805347.53236839653</v>
      </c>
      <c r="C231">
        <f t="shared" si="3"/>
        <v>-20844.852368396474</v>
      </c>
    </row>
    <row r="232" spans="1:3" x14ac:dyDescent="0.3">
      <c r="A232">
        <v>679230.86</v>
      </c>
      <c r="B232">
        <v>700877.99852430599</v>
      </c>
      <c r="C232">
        <f t="shared" si="3"/>
        <v>-21647.138524306007</v>
      </c>
    </row>
    <row r="233" spans="1:3" x14ac:dyDescent="0.3">
      <c r="A233">
        <v>758138.29</v>
      </c>
      <c r="B233">
        <v>779925.08268737257</v>
      </c>
      <c r="C233">
        <f t="shared" si="3"/>
        <v>-21786.792687372537</v>
      </c>
    </row>
    <row r="234" spans="1:3" x14ac:dyDescent="0.3">
      <c r="A234">
        <v>703812.99</v>
      </c>
      <c r="B234">
        <v>726072.05264030048</v>
      </c>
      <c r="C234">
        <f t="shared" si="3"/>
        <v>-22259.062640300486</v>
      </c>
    </row>
    <row r="235" spans="1:3" x14ac:dyDescent="0.3">
      <c r="A235">
        <v>614024.91</v>
      </c>
      <c r="B235">
        <v>636368.08354555198</v>
      </c>
      <c r="C235">
        <f t="shared" si="3"/>
        <v>-22343.173545551952</v>
      </c>
    </row>
    <row r="236" spans="1:3" x14ac:dyDescent="0.3">
      <c r="A236">
        <v>761122.42</v>
      </c>
      <c r="B236">
        <v>783586.28608910902</v>
      </c>
      <c r="C236">
        <f t="shared" si="3"/>
        <v>-22463.866089108982</v>
      </c>
    </row>
    <row r="237" spans="1:3" x14ac:dyDescent="0.3">
      <c r="A237">
        <v>585937.48</v>
      </c>
      <c r="B237">
        <v>609482.44233353843</v>
      </c>
      <c r="C237">
        <f t="shared" si="3"/>
        <v>-23544.962333538453</v>
      </c>
    </row>
    <row r="238" spans="1:3" x14ac:dyDescent="0.3">
      <c r="A238">
        <v>666152.52</v>
      </c>
      <c r="B238">
        <v>689841.37480053306</v>
      </c>
      <c r="C238">
        <f t="shared" si="3"/>
        <v>-23688.854800533038</v>
      </c>
    </row>
    <row r="239" spans="1:3" x14ac:dyDescent="0.3">
      <c r="A239">
        <v>723060.76</v>
      </c>
      <c r="B239">
        <v>747157.34408983146</v>
      </c>
      <c r="C239">
        <f t="shared" si="3"/>
        <v>-24096.584089831449</v>
      </c>
    </row>
    <row r="240" spans="1:3" x14ac:dyDescent="0.3">
      <c r="A240">
        <v>612390.14</v>
      </c>
      <c r="B240">
        <v>637113.27442551195</v>
      </c>
      <c r="C240">
        <f t="shared" si="3"/>
        <v>-24723.134425511933</v>
      </c>
    </row>
    <row r="241" spans="1:3" x14ac:dyDescent="0.3">
      <c r="A241">
        <v>621369.57999999996</v>
      </c>
      <c r="B241">
        <v>646288.82268900156</v>
      </c>
      <c r="C241">
        <f t="shared" si="3"/>
        <v>-24919.242689001607</v>
      </c>
    </row>
    <row r="242" spans="1:3" x14ac:dyDescent="0.3">
      <c r="A242">
        <v>681855.56</v>
      </c>
      <c r="B242">
        <v>708075.89913234301</v>
      </c>
      <c r="C242">
        <f t="shared" si="3"/>
        <v>-26220.339132342953</v>
      </c>
    </row>
    <row r="243" spans="1:3" x14ac:dyDescent="0.3">
      <c r="A243">
        <v>491905.13</v>
      </c>
      <c r="B243">
        <v>518154.34308023204</v>
      </c>
      <c r="C243">
        <f t="shared" si="3"/>
        <v>-26249.213080232032</v>
      </c>
    </row>
    <row r="244" spans="1:3" x14ac:dyDescent="0.3">
      <c r="A244">
        <v>607898.12</v>
      </c>
      <c r="B244">
        <v>634368.45024664735</v>
      </c>
      <c r="C244">
        <f t="shared" si="3"/>
        <v>-26470.330246647354</v>
      </c>
    </row>
    <row r="245" spans="1:3" x14ac:dyDescent="0.3">
      <c r="A245">
        <v>706285.52</v>
      </c>
      <c r="B245">
        <v>733042.66881239496</v>
      </c>
      <c r="C245">
        <f t="shared" si="3"/>
        <v>-26757.148812394938</v>
      </c>
    </row>
    <row r="246" spans="1:3" x14ac:dyDescent="0.3">
      <c r="A246">
        <v>721364.11</v>
      </c>
      <c r="B246">
        <v>748308.24294919707</v>
      </c>
      <c r="C246">
        <f t="shared" si="3"/>
        <v>-26944.132949197083</v>
      </c>
    </row>
    <row r="247" spans="1:3" x14ac:dyDescent="0.3">
      <c r="A247">
        <v>548103.69999999995</v>
      </c>
      <c r="B247">
        <v>575233.66897635348</v>
      </c>
      <c r="C247">
        <f t="shared" si="3"/>
        <v>-27129.968976353528</v>
      </c>
    </row>
    <row r="248" spans="1:3" x14ac:dyDescent="0.3">
      <c r="A248">
        <v>602002.31999999995</v>
      </c>
      <c r="B248">
        <v>629175.56488526205</v>
      </c>
      <c r="C248">
        <f t="shared" si="3"/>
        <v>-27173.244885262102</v>
      </c>
    </row>
    <row r="249" spans="1:3" x14ac:dyDescent="0.3">
      <c r="A249">
        <v>666573.19999999995</v>
      </c>
      <c r="B249">
        <v>693996.24964966811</v>
      </c>
      <c r="C249">
        <f t="shared" si="3"/>
        <v>-27423.049649668159</v>
      </c>
    </row>
    <row r="250" spans="1:3" x14ac:dyDescent="0.3">
      <c r="A250">
        <v>529075.94999999995</v>
      </c>
      <c r="B250">
        <v>556741.32321541396</v>
      </c>
      <c r="C250">
        <f t="shared" si="3"/>
        <v>-27665.373215414002</v>
      </c>
    </row>
    <row r="251" spans="1:3" x14ac:dyDescent="0.3">
      <c r="A251">
        <v>723531.4</v>
      </c>
      <c r="B251">
        <v>752040.2206910986</v>
      </c>
      <c r="C251">
        <f t="shared" si="3"/>
        <v>-28508.820691098575</v>
      </c>
    </row>
    <row r="252" spans="1:3" x14ac:dyDescent="0.3">
      <c r="A252">
        <v>636561.34</v>
      </c>
      <c r="B252">
        <v>665151.09632888506</v>
      </c>
      <c r="C252">
        <f t="shared" si="3"/>
        <v>-28589.756328885094</v>
      </c>
    </row>
    <row r="253" spans="1:3" x14ac:dyDescent="0.3">
      <c r="A253">
        <v>718074.79</v>
      </c>
      <c r="B253">
        <v>746750.02105088113</v>
      </c>
      <c r="C253">
        <f t="shared" si="3"/>
        <v>-28675.231050881092</v>
      </c>
    </row>
    <row r="254" spans="1:3" x14ac:dyDescent="0.3">
      <c r="A254">
        <v>555557.77</v>
      </c>
      <c r="B254">
        <v>584392.34495878906</v>
      </c>
      <c r="C254">
        <f t="shared" si="3"/>
        <v>-28834.574958789046</v>
      </c>
    </row>
    <row r="255" spans="1:3" x14ac:dyDescent="0.3">
      <c r="A255">
        <v>617291.15</v>
      </c>
      <c r="B255">
        <v>647271.24648357206</v>
      </c>
      <c r="C255">
        <f t="shared" si="3"/>
        <v>-29980.096483572037</v>
      </c>
    </row>
    <row r="256" spans="1:3" x14ac:dyDescent="0.3">
      <c r="A256">
        <v>586626.93999999994</v>
      </c>
      <c r="B256">
        <v>617077.29814818851</v>
      </c>
      <c r="C256">
        <f t="shared" si="3"/>
        <v>-30450.358148188563</v>
      </c>
    </row>
    <row r="257" spans="1:3" x14ac:dyDescent="0.3">
      <c r="A257">
        <v>553756.43000000005</v>
      </c>
      <c r="B257">
        <v>584435.13791921793</v>
      </c>
      <c r="C257">
        <f t="shared" si="3"/>
        <v>-30678.707919217879</v>
      </c>
    </row>
    <row r="258" spans="1:3" x14ac:dyDescent="0.3">
      <c r="A258">
        <v>573155.18999999994</v>
      </c>
      <c r="B258">
        <v>605740.70033698506</v>
      </c>
      <c r="C258">
        <f t="shared" si="3"/>
        <v>-32585.510336985113</v>
      </c>
    </row>
    <row r="259" spans="1:3" x14ac:dyDescent="0.3">
      <c r="A259">
        <v>596969.27</v>
      </c>
      <c r="B259">
        <v>630586.91287684243</v>
      </c>
      <c r="C259">
        <f t="shared" ref="C259:C322" si="4">A259-B259</f>
        <v>-33617.642876842408</v>
      </c>
    </row>
    <row r="260" spans="1:3" x14ac:dyDescent="0.3">
      <c r="A260">
        <v>696261.49</v>
      </c>
      <c r="B260">
        <v>729907.65974188899</v>
      </c>
      <c r="C260">
        <f t="shared" si="4"/>
        <v>-33646.169741888996</v>
      </c>
    </row>
    <row r="261" spans="1:3" x14ac:dyDescent="0.3">
      <c r="A261">
        <v>622811.74</v>
      </c>
      <c r="B261">
        <v>657311.69938325742</v>
      </c>
      <c r="C261">
        <f t="shared" si="4"/>
        <v>-34499.959383257432</v>
      </c>
    </row>
    <row r="262" spans="1:3" x14ac:dyDescent="0.3">
      <c r="A262">
        <v>611766.72</v>
      </c>
      <c r="B262">
        <v>647272.91490481561</v>
      </c>
      <c r="C262">
        <f t="shared" si="4"/>
        <v>-35506.194904815638</v>
      </c>
    </row>
    <row r="263" spans="1:3" x14ac:dyDescent="0.3">
      <c r="A263">
        <v>537058.32999999996</v>
      </c>
      <c r="B263">
        <v>574165.17673854041</v>
      </c>
      <c r="C263">
        <f t="shared" si="4"/>
        <v>-37106.846738540451</v>
      </c>
    </row>
    <row r="264" spans="1:3" x14ac:dyDescent="0.3">
      <c r="A264">
        <v>557487.26</v>
      </c>
      <c r="B264">
        <v>595915.27560926951</v>
      </c>
      <c r="C264">
        <f t="shared" si="4"/>
        <v>-38428.015609269496</v>
      </c>
    </row>
    <row r="265" spans="1:3" x14ac:dyDescent="0.3">
      <c r="A265">
        <v>607084.92000000004</v>
      </c>
      <c r="B265">
        <v>645578.06490263448</v>
      </c>
      <c r="C265">
        <f t="shared" si="4"/>
        <v>-38493.144902634434</v>
      </c>
    </row>
    <row r="266" spans="1:3" x14ac:dyDescent="0.3">
      <c r="A266">
        <v>739831.73</v>
      </c>
      <c r="B266">
        <v>778955.17159457703</v>
      </c>
      <c r="C266">
        <f t="shared" si="4"/>
        <v>-39123.441594577045</v>
      </c>
    </row>
    <row r="267" spans="1:3" x14ac:dyDescent="0.3">
      <c r="A267">
        <v>718330.53</v>
      </c>
      <c r="B267">
        <v>757782.62151526147</v>
      </c>
      <c r="C267">
        <f t="shared" si="4"/>
        <v>-39452.091515261447</v>
      </c>
    </row>
    <row r="268" spans="1:3" x14ac:dyDescent="0.3">
      <c r="A268">
        <v>685830.24</v>
      </c>
      <c r="B268">
        <v>725419.39276947593</v>
      </c>
      <c r="C268">
        <f t="shared" si="4"/>
        <v>-39589.152769475942</v>
      </c>
    </row>
    <row r="269" spans="1:3" x14ac:dyDescent="0.3">
      <c r="A269">
        <v>559660.84</v>
      </c>
      <c r="B269">
        <v>599252.51211451658</v>
      </c>
      <c r="C269">
        <f t="shared" si="4"/>
        <v>-39591.672114516608</v>
      </c>
    </row>
    <row r="270" spans="1:3" x14ac:dyDescent="0.3">
      <c r="A270">
        <v>800979.78</v>
      </c>
      <c r="B270">
        <v>840721.02381081553</v>
      </c>
      <c r="C270">
        <f t="shared" si="4"/>
        <v>-39741.243810815504</v>
      </c>
    </row>
    <row r="271" spans="1:3" x14ac:dyDescent="0.3">
      <c r="A271">
        <v>697287.9</v>
      </c>
      <c r="B271">
        <v>738708.60420607706</v>
      </c>
      <c r="C271">
        <f t="shared" si="4"/>
        <v>-41420.704206077033</v>
      </c>
    </row>
    <row r="272" spans="1:3" x14ac:dyDescent="0.3">
      <c r="A272">
        <v>658832.62</v>
      </c>
      <c r="B272">
        <v>700979.50862591655</v>
      </c>
      <c r="C272">
        <f t="shared" si="4"/>
        <v>-42146.888625916559</v>
      </c>
    </row>
    <row r="273" spans="1:3" x14ac:dyDescent="0.3">
      <c r="A273">
        <v>546223.69999999995</v>
      </c>
      <c r="B273">
        <v>588797.86336204794</v>
      </c>
      <c r="C273">
        <f t="shared" si="4"/>
        <v>-42574.163362047984</v>
      </c>
    </row>
    <row r="274" spans="1:3" x14ac:dyDescent="0.3">
      <c r="A274">
        <v>487464.91</v>
      </c>
      <c r="B274">
        <v>530087.40547509002</v>
      </c>
      <c r="C274">
        <f t="shared" si="4"/>
        <v>-42622.495475090051</v>
      </c>
    </row>
    <row r="275" spans="1:3" x14ac:dyDescent="0.3">
      <c r="A275">
        <v>524899.56999999995</v>
      </c>
      <c r="B275">
        <v>570756.6584974085</v>
      </c>
      <c r="C275">
        <f t="shared" si="4"/>
        <v>-45857.088497408549</v>
      </c>
    </row>
    <row r="276" spans="1:3" x14ac:dyDescent="0.3">
      <c r="A276">
        <v>536524.84</v>
      </c>
      <c r="B276">
        <v>582721.82632365706</v>
      </c>
      <c r="C276">
        <f t="shared" si="4"/>
        <v>-46196.986323657096</v>
      </c>
    </row>
    <row r="277" spans="1:3" x14ac:dyDescent="0.3">
      <c r="A277">
        <v>680840.36</v>
      </c>
      <c r="B277">
        <v>727527.48112819449</v>
      </c>
      <c r="C277">
        <f t="shared" si="4"/>
        <v>-46687.1211281945</v>
      </c>
    </row>
    <row r="278" spans="1:3" x14ac:dyDescent="0.3">
      <c r="A278">
        <v>577732.56999999995</v>
      </c>
      <c r="B278">
        <v>624458.81734343001</v>
      </c>
      <c r="C278">
        <f t="shared" si="4"/>
        <v>-46726.247343430063</v>
      </c>
    </row>
    <row r="279" spans="1:3" x14ac:dyDescent="0.3">
      <c r="A279">
        <v>574066.61</v>
      </c>
      <c r="B279">
        <v>621248.07935257454</v>
      </c>
      <c r="C279">
        <f t="shared" si="4"/>
        <v>-47181.469352574553</v>
      </c>
    </row>
    <row r="280" spans="1:3" x14ac:dyDescent="0.3">
      <c r="A280">
        <v>554012.06999999995</v>
      </c>
      <c r="B280">
        <v>601335.49094902701</v>
      </c>
      <c r="C280">
        <f t="shared" si="4"/>
        <v>-47323.420949027059</v>
      </c>
    </row>
    <row r="281" spans="1:3" x14ac:dyDescent="0.3">
      <c r="A281">
        <v>570963.31000000006</v>
      </c>
      <c r="B281">
        <v>618762.39459938451</v>
      </c>
      <c r="C281">
        <f t="shared" si="4"/>
        <v>-47799.084599384456</v>
      </c>
    </row>
    <row r="282" spans="1:3" x14ac:dyDescent="0.3">
      <c r="A282">
        <v>599603.4</v>
      </c>
      <c r="B282">
        <v>647751.6562363815</v>
      </c>
      <c r="C282">
        <f t="shared" si="4"/>
        <v>-48148.25623638148</v>
      </c>
    </row>
    <row r="283" spans="1:3" x14ac:dyDescent="0.3">
      <c r="A283">
        <v>578949.84</v>
      </c>
      <c r="B283">
        <v>628017.69244414952</v>
      </c>
      <c r="C283">
        <f t="shared" si="4"/>
        <v>-49067.852444149554</v>
      </c>
    </row>
    <row r="284" spans="1:3" x14ac:dyDescent="0.3">
      <c r="A284">
        <v>741341.44</v>
      </c>
      <c r="B284">
        <v>791057.23766929586</v>
      </c>
      <c r="C284">
        <f t="shared" si="4"/>
        <v>-49715.79766929592</v>
      </c>
    </row>
    <row r="285" spans="1:3" x14ac:dyDescent="0.3">
      <c r="A285">
        <v>643428.85</v>
      </c>
      <c r="B285">
        <v>695138.168411611</v>
      </c>
      <c r="C285">
        <f t="shared" si="4"/>
        <v>-51709.318411611021</v>
      </c>
    </row>
    <row r="286" spans="1:3" x14ac:dyDescent="0.3">
      <c r="A286">
        <v>688368.46</v>
      </c>
      <c r="B286">
        <v>740670.26912854856</v>
      </c>
      <c r="C286">
        <f t="shared" si="4"/>
        <v>-52301.809128548601</v>
      </c>
    </row>
    <row r="287" spans="1:3" x14ac:dyDescent="0.3">
      <c r="A287">
        <v>671868.59</v>
      </c>
      <c r="B287">
        <v>724362.65414405253</v>
      </c>
      <c r="C287">
        <f t="shared" si="4"/>
        <v>-52494.064144052565</v>
      </c>
    </row>
    <row r="288" spans="1:3" x14ac:dyDescent="0.3">
      <c r="A288">
        <v>650480.06000000006</v>
      </c>
      <c r="B288">
        <v>704221.44399236154</v>
      </c>
      <c r="C288">
        <f t="shared" si="4"/>
        <v>-53741.383992361487</v>
      </c>
    </row>
    <row r="289" spans="1:3" x14ac:dyDescent="0.3">
      <c r="A289">
        <v>726606.28</v>
      </c>
      <c r="B289">
        <v>782517.74376062304</v>
      </c>
      <c r="C289">
        <f t="shared" si="4"/>
        <v>-55911.46376062301</v>
      </c>
    </row>
    <row r="290" spans="1:3" x14ac:dyDescent="0.3">
      <c r="A290">
        <v>620264.19999999995</v>
      </c>
      <c r="B290">
        <v>676646.78240774805</v>
      </c>
      <c r="C290">
        <f t="shared" si="4"/>
        <v>-56382.582407748094</v>
      </c>
    </row>
    <row r="291" spans="1:3" x14ac:dyDescent="0.3">
      <c r="A291">
        <v>527300.13</v>
      </c>
      <c r="B291">
        <v>586167.32299604197</v>
      </c>
      <c r="C291">
        <f t="shared" si="4"/>
        <v>-58867.192996041966</v>
      </c>
    </row>
    <row r="292" spans="1:3" x14ac:dyDescent="0.3">
      <c r="A292">
        <v>509484.81</v>
      </c>
      <c r="B292">
        <v>568375.77943726955</v>
      </c>
      <c r="C292">
        <f t="shared" si="4"/>
        <v>-58890.969437269552</v>
      </c>
    </row>
    <row r="293" spans="1:3" x14ac:dyDescent="0.3">
      <c r="A293">
        <v>651164.18000000005</v>
      </c>
      <c r="B293">
        <v>711422.43634025753</v>
      </c>
      <c r="C293">
        <f t="shared" si="4"/>
        <v>-60258.256340257474</v>
      </c>
    </row>
    <row r="294" spans="1:3" x14ac:dyDescent="0.3">
      <c r="A294">
        <v>593343</v>
      </c>
      <c r="B294">
        <v>654945.09933238954</v>
      </c>
      <c r="C294">
        <f t="shared" si="4"/>
        <v>-61602.099332389538</v>
      </c>
    </row>
    <row r="295" spans="1:3" x14ac:dyDescent="0.3">
      <c r="A295">
        <v>400831.65</v>
      </c>
      <c r="B295">
        <v>462702.07010994595</v>
      </c>
      <c r="C295">
        <f t="shared" si="4"/>
        <v>-61870.420109945931</v>
      </c>
    </row>
    <row r="296" spans="1:3" x14ac:dyDescent="0.3">
      <c r="A296">
        <v>725235.28</v>
      </c>
      <c r="B296">
        <v>788623.59066829446</v>
      </c>
      <c r="C296">
        <f t="shared" si="4"/>
        <v>-63388.310668294434</v>
      </c>
    </row>
    <row r="297" spans="1:3" x14ac:dyDescent="0.3">
      <c r="A297">
        <v>634436</v>
      </c>
      <c r="B297">
        <v>698864.95645703352</v>
      </c>
      <c r="C297">
        <f t="shared" si="4"/>
        <v>-64428.956457033521</v>
      </c>
    </row>
    <row r="298" spans="1:3" x14ac:dyDescent="0.3">
      <c r="A298">
        <v>675917.63</v>
      </c>
      <c r="B298">
        <v>742248.97977542446</v>
      </c>
      <c r="C298">
        <f t="shared" si="4"/>
        <v>-66331.34977542446</v>
      </c>
    </row>
    <row r="299" spans="1:3" x14ac:dyDescent="0.3">
      <c r="A299">
        <v>660633.99</v>
      </c>
      <c r="B299">
        <v>727176.83086733811</v>
      </c>
      <c r="C299">
        <f t="shared" si="4"/>
        <v>-66542.84086733812</v>
      </c>
    </row>
    <row r="300" spans="1:3" x14ac:dyDescent="0.3">
      <c r="A300">
        <v>630829.93999999994</v>
      </c>
      <c r="B300">
        <v>698168.22868523805</v>
      </c>
      <c r="C300">
        <f t="shared" si="4"/>
        <v>-67338.288685238105</v>
      </c>
    </row>
    <row r="301" spans="1:3" x14ac:dyDescent="0.3">
      <c r="A301">
        <v>401582.58</v>
      </c>
      <c r="B301">
        <v>469457.37274994701</v>
      </c>
      <c r="C301">
        <f t="shared" si="4"/>
        <v>-67874.792749946995</v>
      </c>
    </row>
    <row r="302" spans="1:3" x14ac:dyDescent="0.3">
      <c r="A302">
        <v>721079.35</v>
      </c>
      <c r="B302">
        <v>789005.58813011006</v>
      </c>
      <c r="C302">
        <f t="shared" si="4"/>
        <v>-67926.238130110083</v>
      </c>
    </row>
    <row r="303" spans="1:3" x14ac:dyDescent="0.3">
      <c r="A303">
        <v>427917.38</v>
      </c>
      <c r="B303">
        <v>497095.2583478025</v>
      </c>
      <c r="C303">
        <f t="shared" si="4"/>
        <v>-69177.8783478025</v>
      </c>
    </row>
    <row r="304" spans="1:3" x14ac:dyDescent="0.3">
      <c r="A304">
        <v>691288.19</v>
      </c>
      <c r="B304">
        <v>761164.25761075504</v>
      </c>
      <c r="C304">
        <f t="shared" si="4"/>
        <v>-69876.067610755097</v>
      </c>
    </row>
    <row r="305" spans="1:3" x14ac:dyDescent="0.3">
      <c r="A305">
        <v>799477.76000000001</v>
      </c>
      <c r="B305">
        <v>871592.71200853656</v>
      </c>
      <c r="C305">
        <f t="shared" si="4"/>
        <v>-72114.952008536551</v>
      </c>
    </row>
    <row r="306" spans="1:3" x14ac:dyDescent="0.3">
      <c r="A306">
        <v>441275.42</v>
      </c>
      <c r="B306">
        <v>513736.44739692193</v>
      </c>
      <c r="C306">
        <f t="shared" si="4"/>
        <v>-72461.027396921942</v>
      </c>
    </row>
    <row r="307" spans="1:3" x14ac:dyDescent="0.3">
      <c r="A307">
        <v>511844.41</v>
      </c>
      <c r="B307">
        <v>584715.79302159301</v>
      </c>
      <c r="C307">
        <f t="shared" si="4"/>
        <v>-72871.383021593036</v>
      </c>
    </row>
    <row r="308" spans="1:3" x14ac:dyDescent="0.3">
      <c r="A308">
        <v>678722.06</v>
      </c>
      <c r="B308">
        <v>753496.41491681256</v>
      </c>
      <c r="C308">
        <f t="shared" si="4"/>
        <v>-74774.354916812503</v>
      </c>
    </row>
    <row r="309" spans="1:3" x14ac:dyDescent="0.3">
      <c r="A309">
        <v>673076.34</v>
      </c>
      <c r="B309">
        <v>753019.06411536655</v>
      </c>
      <c r="C309">
        <f t="shared" si="4"/>
        <v>-79942.724115366582</v>
      </c>
    </row>
    <row r="310" spans="1:3" x14ac:dyDescent="0.3">
      <c r="A310">
        <v>593637.14</v>
      </c>
      <c r="B310">
        <v>675167.580746572</v>
      </c>
      <c r="C310">
        <f t="shared" si="4"/>
        <v>-81530.440746571985</v>
      </c>
    </row>
    <row r="311" spans="1:3" x14ac:dyDescent="0.3">
      <c r="A311">
        <v>684217.32</v>
      </c>
      <c r="B311">
        <v>766036.87819447054</v>
      </c>
      <c r="C311">
        <f t="shared" si="4"/>
        <v>-81819.558194470592</v>
      </c>
    </row>
    <row r="312" spans="1:3" x14ac:dyDescent="0.3">
      <c r="A312">
        <v>633638.03</v>
      </c>
      <c r="B312">
        <v>720390.80399839906</v>
      </c>
      <c r="C312">
        <f t="shared" si="4"/>
        <v>-86752.773998399032</v>
      </c>
    </row>
    <row r="313" spans="1:3" x14ac:dyDescent="0.3">
      <c r="A313">
        <v>449465.06</v>
      </c>
      <c r="B313">
        <v>543285.91193144605</v>
      </c>
      <c r="C313">
        <f t="shared" si="4"/>
        <v>-93820.851931446057</v>
      </c>
    </row>
    <row r="314" spans="1:3" x14ac:dyDescent="0.3">
      <c r="A314">
        <v>463534.25</v>
      </c>
      <c r="B314">
        <v>558541.85973881907</v>
      </c>
      <c r="C314">
        <f t="shared" si="4"/>
        <v>-95007.609738819068</v>
      </c>
    </row>
    <row r="315" spans="1:3" x14ac:dyDescent="0.3">
      <c r="A315">
        <v>800451.94</v>
      </c>
      <c r="B315">
        <v>899629.43823372805</v>
      </c>
      <c r="C315">
        <f t="shared" si="4"/>
        <v>-99177.498233728111</v>
      </c>
    </row>
    <row r="316" spans="1:3" x14ac:dyDescent="0.3">
      <c r="A316">
        <v>658920.30000000005</v>
      </c>
      <c r="B316">
        <v>759514.96643364453</v>
      </c>
      <c r="C316">
        <f t="shared" si="4"/>
        <v>-100594.66643364448</v>
      </c>
    </row>
    <row r="317" spans="1:3" x14ac:dyDescent="0.3">
      <c r="A317">
        <v>538376</v>
      </c>
      <c r="B317">
        <v>642676.08823173598</v>
      </c>
      <c r="C317">
        <f t="shared" si="4"/>
        <v>-104300.08823173598</v>
      </c>
    </row>
    <row r="318" spans="1:3" x14ac:dyDescent="0.3">
      <c r="A318">
        <v>415721.82</v>
      </c>
      <c r="B318">
        <v>527872.27868644195</v>
      </c>
      <c r="C318">
        <f t="shared" si="4"/>
        <v>-112150.45868644194</v>
      </c>
    </row>
    <row r="319" spans="1:3" x14ac:dyDescent="0.3">
      <c r="A319">
        <v>627171.9</v>
      </c>
      <c r="B319">
        <v>750453.31572769349</v>
      </c>
      <c r="C319">
        <f t="shared" si="4"/>
        <v>-123281.41572769347</v>
      </c>
    </row>
    <row r="320" spans="1:3" x14ac:dyDescent="0.3">
      <c r="A320">
        <v>641865.03</v>
      </c>
      <c r="B320">
        <v>770152.08467962453</v>
      </c>
      <c r="C320">
        <f t="shared" si="4"/>
        <v>-128287.0546796245</v>
      </c>
    </row>
    <row r="321" spans="1:3" x14ac:dyDescent="0.3">
      <c r="A321">
        <v>595467.6</v>
      </c>
      <c r="B321">
        <v>729271.61735567648</v>
      </c>
      <c r="C321">
        <f t="shared" si="4"/>
        <v>-133804.01735567651</v>
      </c>
    </row>
    <row r="322" spans="1:3" x14ac:dyDescent="0.3">
      <c r="A322">
        <v>685379.08</v>
      </c>
      <c r="B322">
        <v>840947.73697921494</v>
      </c>
      <c r="C322">
        <f t="shared" si="4"/>
        <v>-155568.65697921498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44B3-7840-4216-BD2C-E513C9C556B4}">
  <dimension ref="A1:E5"/>
  <sheetViews>
    <sheetView topLeftCell="A18" workbookViewId="0">
      <selection activeCell="F35" sqref="F35"/>
    </sheetView>
  </sheetViews>
  <sheetFormatPr defaultRowHeight="14.4" x14ac:dyDescent="0.3"/>
  <cols>
    <col min="1" max="1" width="32.88671875" bestFit="1" customWidth="1"/>
    <col min="2" max="2" width="12" bestFit="1" customWidth="1"/>
    <col min="3" max="3" width="16.5546875" bestFit="1" customWidth="1"/>
    <col min="4" max="4" width="13.33203125" bestFit="1" customWidth="1"/>
    <col min="5" max="5" width="12.33203125" bestFit="1" customWidth="1"/>
  </cols>
  <sheetData>
    <row r="1" spans="1:5" x14ac:dyDescent="0.3">
      <c r="A1" s="12" t="s">
        <v>152</v>
      </c>
      <c r="B1" s="12" t="s">
        <v>153</v>
      </c>
      <c r="C1" s="12" t="s">
        <v>154</v>
      </c>
      <c r="D1" s="12" t="s">
        <v>159</v>
      </c>
      <c r="E1" s="12" t="s">
        <v>160</v>
      </c>
    </row>
    <row r="2" spans="1:5" x14ac:dyDescent="0.3">
      <c r="A2" s="12" t="s">
        <v>132</v>
      </c>
      <c r="B2" s="15" t="s">
        <v>111</v>
      </c>
      <c r="C2" s="15" t="s">
        <v>112</v>
      </c>
      <c r="D2" s="15" t="s">
        <v>113</v>
      </c>
      <c r="E2" s="15" t="s">
        <v>124</v>
      </c>
    </row>
    <row r="3" spans="1:5" x14ac:dyDescent="0.3">
      <c r="A3" s="14" t="s">
        <v>162</v>
      </c>
      <c r="B3" s="15">
        <v>0.16791500000000001</v>
      </c>
      <c r="C3" s="15">
        <v>0.16529099999999999</v>
      </c>
      <c r="D3" s="15">
        <v>94950.67</v>
      </c>
      <c r="E3" s="16">
        <v>2.3909299999999999E-14</v>
      </c>
    </row>
    <row r="4" spans="1:5" x14ac:dyDescent="0.3">
      <c r="A4" s="14" t="s">
        <v>163</v>
      </c>
      <c r="B4" s="15">
        <v>0.73830172199999999</v>
      </c>
      <c r="C4" s="15">
        <v>0.73747617600000004</v>
      </c>
      <c r="D4" s="15">
        <v>53249.398229999999</v>
      </c>
      <c r="E4" s="16">
        <v>2.7409899999999998E-94</v>
      </c>
    </row>
    <row r="5" spans="1:5" x14ac:dyDescent="0.3">
      <c r="A5" s="14" t="s">
        <v>161</v>
      </c>
      <c r="B5" s="15">
        <v>0.81319759999999996</v>
      </c>
      <c r="C5" s="15">
        <v>0.81021350000000003</v>
      </c>
      <c r="D5" s="15">
        <v>45275.469799999999</v>
      </c>
      <c r="E5" s="16">
        <v>1.0249999999999999E-111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71E3-EDC9-49F1-95A4-08649F84E1A7}">
  <dimension ref="A1:I4"/>
  <sheetViews>
    <sheetView topLeftCell="H1" workbookViewId="0">
      <selection activeCell="J10" sqref="J10"/>
    </sheetView>
  </sheetViews>
  <sheetFormatPr defaultRowHeight="14.4" x14ac:dyDescent="0.3"/>
  <cols>
    <col min="1" max="1" width="17.21875" bestFit="1" customWidth="1"/>
    <col min="2" max="2" width="17.88671875" bestFit="1" customWidth="1"/>
    <col min="3" max="3" width="10.77734375" bestFit="1" customWidth="1"/>
    <col min="4" max="4" width="7" bestFit="1" customWidth="1"/>
    <col min="5" max="5" width="10.77734375" bestFit="1" customWidth="1"/>
    <col min="6" max="6" width="12.21875" bestFit="1" customWidth="1"/>
    <col min="7" max="7" width="65.33203125" bestFit="1" customWidth="1"/>
    <col min="8" max="8" width="105" bestFit="1" customWidth="1"/>
    <col min="9" max="9" width="9" bestFit="1" customWidth="1"/>
  </cols>
  <sheetData>
    <row r="1" spans="1:9" x14ac:dyDescent="0.3">
      <c r="A1" s="12" t="s">
        <v>164</v>
      </c>
      <c r="B1" s="12" t="s">
        <v>134</v>
      </c>
      <c r="C1" s="12" t="s">
        <v>165</v>
      </c>
      <c r="D1" s="12" t="s">
        <v>177</v>
      </c>
      <c r="E1" s="7" t="s">
        <v>165</v>
      </c>
      <c r="F1" s="7" t="s">
        <v>166</v>
      </c>
      <c r="G1" s="7" t="s">
        <v>127</v>
      </c>
      <c r="H1" s="7" t="s">
        <v>167</v>
      </c>
      <c r="I1" s="7" t="s">
        <v>168</v>
      </c>
    </row>
    <row r="2" spans="1:9" x14ac:dyDescent="0.3">
      <c r="A2" s="13" t="s">
        <v>138</v>
      </c>
      <c r="B2" s="13">
        <v>0.16789999999999999</v>
      </c>
      <c r="C2" s="13" t="s">
        <v>169</v>
      </c>
      <c r="D2" s="13" t="s">
        <v>172</v>
      </c>
      <c r="E2" s="8" t="s">
        <v>169</v>
      </c>
      <c r="F2" s="8">
        <v>2.1353770000000001</v>
      </c>
      <c r="G2" s="17" t="s">
        <v>170</v>
      </c>
      <c r="H2" s="8" t="s">
        <v>171</v>
      </c>
      <c r="I2" s="8" t="s">
        <v>172</v>
      </c>
    </row>
    <row r="3" spans="1:9" x14ac:dyDescent="0.3">
      <c r="A3" s="13" t="s">
        <v>142</v>
      </c>
      <c r="B3" s="13">
        <v>0.73829999999999996</v>
      </c>
      <c r="C3" s="13" t="s">
        <v>169</v>
      </c>
      <c r="D3" s="13" t="s">
        <v>172</v>
      </c>
      <c r="E3" s="8" t="s">
        <v>169</v>
      </c>
      <c r="F3" s="8">
        <v>35.751620000000003</v>
      </c>
      <c r="G3" s="17" t="s">
        <v>170</v>
      </c>
      <c r="H3" s="8" t="s">
        <v>173</v>
      </c>
      <c r="I3" s="8" t="s">
        <v>172</v>
      </c>
    </row>
    <row r="4" spans="1:9" x14ac:dyDescent="0.3">
      <c r="A4" s="13" t="s">
        <v>161</v>
      </c>
      <c r="B4" s="13">
        <v>0.81320000000000003</v>
      </c>
      <c r="C4" s="13">
        <v>0.81020000000000003</v>
      </c>
      <c r="D4" s="13" t="s">
        <v>139</v>
      </c>
      <c r="E4" s="8">
        <v>0.81020000000000003</v>
      </c>
      <c r="F4" s="8" t="s">
        <v>174</v>
      </c>
      <c r="G4" s="17" t="s">
        <v>175</v>
      </c>
      <c r="H4" s="8" t="s">
        <v>176</v>
      </c>
      <c r="I4" s="8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Original_Data</vt:lpstr>
      <vt:lpstr>Cleaned_Data</vt:lpstr>
      <vt:lpstr>Dummy_Variables</vt:lpstr>
      <vt:lpstr>Simple_Regression_1 </vt:lpstr>
      <vt:lpstr>Simple_Regression_2</vt:lpstr>
      <vt:lpstr>Simple_Regression</vt:lpstr>
      <vt:lpstr>Multiple_Regression</vt:lpstr>
      <vt:lpstr>Residual_Analysis</vt:lpstr>
      <vt:lpstr>Model_Comparison</vt:lpstr>
      <vt:lpstr>Regression_Summary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ansh raj</cp:lastModifiedBy>
  <dcterms:created xsi:type="dcterms:W3CDTF">2015-06-05T18:17:20Z</dcterms:created>
  <dcterms:modified xsi:type="dcterms:W3CDTF">2026-06-28T16:52:35Z</dcterms:modified>
</cp:coreProperties>
</file>